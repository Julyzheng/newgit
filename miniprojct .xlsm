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ocuments/Course/Valuation/"/>
    </mc:Choice>
  </mc:AlternateContent>
  <xr:revisionPtr revIDLastSave="0" documentId="13_ncr:1_{E77C2A2A-10F0-4546-BA02-F49DBF96FD17}" xr6:coauthVersionLast="43" xr6:coauthVersionMax="43" xr10:uidLastSave="{00000000-0000-0000-0000-000000000000}"/>
  <bookViews>
    <workbookView xWindow="0" yWindow="460" windowWidth="28800" windowHeight="16540" xr2:uid="{54B27C12-9157-4047-B854-6DEF6B428C88}"/>
  </bookViews>
  <sheets>
    <sheet name="Sheet2" sheetId="2" r:id="rId1"/>
    <sheet name="Sheet3" sheetId="3" r:id="rId2"/>
  </sheets>
  <definedNames>
    <definedName name="aaa">Sheet3!$A$2:$A$1001</definedName>
    <definedName name="bbb">Sheet3!$A$2:$B$1001</definedName>
    <definedName name="rand">Sheet3!$A$2:$A$1001</definedName>
    <definedName name="rdn">Sheet3!$1:$1048576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2" l="1"/>
  <c r="C6" i="2" s="1"/>
  <c r="C18" i="2" l="1"/>
  <c r="C19" i="2" s="1"/>
  <c r="C45" i="2"/>
  <c r="F2" i="2" s="1"/>
  <c r="D45" i="2"/>
  <c r="F3" i="2" s="1"/>
  <c r="K5" i="2" s="1"/>
  <c r="E45" i="2"/>
  <c r="F5" i="2" s="1"/>
  <c r="F45" i="2"/>
  <c r="F4" i="2" s="1"/>
  <c r="J5" i="2" s="1"/>
  <c r="C46" i="2"/>
  <c r="C47" i="2" s="1"/>
  <c r="D46" i="2"/>
  <c r="D47" i="2" s="1"/>
  <c r="E46" i="2"/>
  <c r="E47" i="2" s="1"/>
  <c r="F46" i="2"/>
  <c r="F47" i="2" s="1"/>
  <c r="L5" i="2" l="1"/>
  <c r="F6" i="2"/>
  <c r="F7" i="2" s="1"/>
  <c r="F9" i="2"/>
  <c r="C33" i="2"/>
  <c r="C21" i="2" l="1"/>
  <c r="C24" i="2" s="1"/>
  <c r="C25" i="2" s="1"/>
  <c r="C34" i="2" s="1"/>
  <c r="C35" i="2" s="1"/>
  <c r="C36" i="2"/>
  <c r="C50" i="2"/>
  <c r="C7" i="2" l="1"/>
  <c r="C22" i="2" s="1"/>
  <c r="C23" i="2" s="1"/>
  <c r="C26" i="2"/>
  <c r="C28" i="2" s="1"/>
  <c r="C37" i="2" s="1"/>
  <c r="D50" i="2" s="1"/>
  <c r="C30" i="2" l="1"/>
  <c r="C29" i="2" s="1"/>
  <c r="C38" i="2" l="1"/>
  <c r="E50" i="2" s="1"/>
  <c r="C39" i="2" l="1"/>
  <c r="F50" i="2" s="1"/>
  <c r="G75" i="2" l="1"/>
  <c r="G81" i="2"/>
  <c r="G88" i="2"/>
  <c r="G62" i="2"/>
  <c r="G69" i="2"/>
  <c r="G80" i="2"/>
  <c r="G68" i="2"/>
  <c r="G77" i="2"/>
  <c r="G72" i="2"/>
  <c r="G65" i="2"/>
  <c r="G82" i="2"/>
  <c r="G66" i="2"/>
  <c r="G57" i="2"/>
  <c r="G53" i="2"/>
  <c r="G60" i="2"/>
  <c r="G63" i="2"/>
  <c r="G56" i="2"/>
  <c r="G105" i="2"/>
  <c r="G99" i="2"/>
  <c r="G87" i="2"/>
  <c r="G120" i="2"/>
  <c r="G70" i="2"/>
  <c r="G117" i="2"/>
  <c r="G91" i="2"/>
  <c r="G110" i="2"/>
  <c r="G73" i="2"/>
  <c r="G64" i="2"/>
  <c r="G83" i="2"/>
  <c r="G102" i="2"/>
  <c r="G74" i="2"/>
  <c r="G61" i="2"/>
  <c r="G84" i="2"/>
  <c r="G90" i="2"/>
  <c r="G85" i="2"/>
  <c r="G147" i="2"/>
  <c r="G127" i="2"/>
  <c r="G109" i="2"/>
  <c r="G86" i="2"/>
  <c r="G67" i="2"/>
  <c r="G124" i="2"/>
  <c r="G167" i="2"/>
  <c r="G159" i="2"/>
  <c r="G137" i="2"/>
  <c r="G118" i="2"/>
  <c r="G54" i="2"/>
  <c r="G50" i="2"/>
  <c r="G76" i="2"/>
  <c r="G96" i="2"/>
  <c r="G108" i="2"/>
  <c r="G112" i="2"/>
  <c r="G101" i="2"/>
  <c r="G55" i="2"/>
  <c r="G78" i="2"/>
  <c r="G135" i="2"/>
  <c r="G138" i="2"/>
  <c r="G93" i="2"/>
  <c r="G98" i="2"/>
  <c r="G71" i="2"/>
  <c r="G103" i="2"/>
  <c r="G107" i="2"/>
  <c r="G106" i="2"/>
  <c r="G151" i="2"/>
  <c r="G116" i="2"/>
  <c r="G146" i="2"/>
  <c r="G132" i="2"/>
  <c r="G148" i="2"/>
  <c r="G169" i="2"/>
  <c r="G58" i="2"/>
  <c r="G143" i="2"/>
  <c r="G141" i="2"/>
  <c r="G97" i="2"/>
  <c r="G79" i="2"/>
  <c r="G119" i="2"/>
  <c r="G144" i="2"/>
  <c r="G152" i="2"/>
  <c r="G139" i="2"/>
  <c r="G92" i="2"/>
  <c r="G156" i="2"/>
  <c r="G153" i="2"/>
  <c r="G89" i="2"/>
  <c r="G114" i="2"/>
  <c r="G126" i="2"/>
  <c r="G183" i="2"/>
  <c r="G253" i="2"/>
  <c r="G275" i="2"/>
  <c r="G125" i="2"/>
  <c r="G165" i="2"/>
  <c r="G122" i="2"/>
  <c r="G163" i="2"/>
  <c r="G164" i="2"/>
  <c r="G130" i="2"/>
  <c r="G149" i="2"/>
  <c r="G166" i="2"/>
  <c r="G113" i="2"/>
  <c r="G234" i="2"/>
  <c r="G100" i="2"/>
  <c r="G168" i="2"/>
  <c r="G189" i="2"/>
  <c r="G115" i="2"/>
  <c r="G245" i="2"/>
  <c r="G298" i="2"/>
  <c r="G175" i="2"/>
  <c r="G215" i="2"/>
  <c r="G198" i="2"/>
  <c r="G271" i="2"/>
  <c r="G173" i="2"/>
  <c r="G162" i="2"/>
  <c r="G269" i="2"/>
  <c r="G191" i="2"/>
  <c r="G264" i="2"/>
  <c r="G94" i="2"/>
  <c r="G170" i="2"/>
  <c r="G243" i="2"/>
  <c r="G223" i="2"/>
  <c r="G177" i="2"/>
  <c r="G123" i="2"/>
  <c r="G328" i="2"/>
  <c r="G133" i="2"/>
  <c r="G161" i="2"/>
  <c r="G224" i="2"/>
  <c r="G59" i="2"/>
  <c r="G155" i="2"/>
  <c r="G111" i="2"/>
  <c r="G274" i="2"/>
  <c r="G282" i="2"/>
  <c r="G194" i="2"/>
  <c r="G318" i="2"/>
  <c r="G242" i="2"/>
  <c r="G142" i="2"/>
  <c r="G205" i="2"/>
  <c r="G294" i="2"/>
  <c r="G217" i="2"/>
  <c r="G160" i="2"/>
  <c r="G200" i="2"/>
  <c r="G302" i="2"/>
  <c r="G286" i="2"/>
  <c r="G239" i="2"/>
  <c r="G171" i="2"/>
  <c r="G145" i="2"/>
  <c r="G158" i="2"/>
  <c r="G154" i="2"/>
  <c r="G192" i="2"/>
  <c r="G258" i="2"/>
  <c r="G128" i="2"/>
  <c r="G210" i="2"/>
  <c r="G181" i="2"/>
  <c r="G266" i="2"/>
  <c r="G95" i="2"/>
  <c r="G214" i="2"/>
  <c r="G277" i="2"/>
  <c r="G219" i="2"/>
  <c r="G306" i="2"/>
  <c r="G289" i="2"/>
  <c r="G303" i="2"/>
  <c r="G207" i="2"/>
  <c r="G140" i="2"/>
  <c r="G193" i="2"/>
  <c r="G325" i="2"/>
  <c r="G230" i="2"/>
  <c r="G326" i="2"/>
  <c r="G237" i="2"/>
  <c r="G278" i="2"/>
  <c r="G314" i="2"/>
  <c r="G320" i="2"/>
  <c r="G307" i="2"/>
  <c r="G259" i="2"/>
  <c r="G241" i="2"/>
  <c r="G249" i="2"/>
  <c r="G257" i="2"/>
  <c r="G265" i="2"/>
  <c r="G273" i="2"/>
  <c r="G279" i="2"/>
  <c r="G285" i="2"/>
  <c r="G231" i="2"/>
  <c r="G295" i="2"/>
  <c r="G280" i="2"/>
  <c r="G281" i="2"/>
  <c r="G288" i="2"/>
  <c r="G317" i="2"/>
  <c r="G327" i="2"/>
  <c r="G172" i="2"/>
  <c r="G204" i="2"/>
  <c r="G228" i="2"/>
  <c r="G321" i="2"/>
  <c r="G324" i="2"/>
  <c r="G238" i="2"/>
  <c r="G203" i="2"/>
  <c r="G256" i="2"/>
  <c r="G209" i="2"/>
  <c r="G185" i="2"/>
  <c r="G346" i="2"/>
  <c r="G121" i="2"/>
  <c r="G213" i="2"/>
  <c r="G330" i="2"/>
  <c r="G255" i="2"/>
  <c r="G182" i="2"/>
  <c r="G349" i="2"/>
  <c r="G333" i="2"/>
  <c r="G372" i="2"/>
  <c r="G291" i="2"/>
  <c r="G339" i="2"/>
  <c r="G293" i="2"/>
  <c r="G301" i="2"/>
  <c r="G134" i="2"/>
  <c r="G129" i="2"/>
  <c r="G187" i="2"/>
  <c r="G52" i="2"/>
  <c r="G197" i="2"/>
  <c r="G190" i="2"/>
  <c r="G235" i="2"/>
  <c r="G322" i="2"/>
  <c r="G315" i="2"/>
  <c r="G310" i="2"/>
  <c r="G296" i="2"/>
  <c r="G336" i="2"/>
  <c r="G157" i="2"/>
  <c r="G131" i="2"/>
  <c r="G104" i="2"/>
  <c r="G211" i="2"/>
  <c r="G202" i="2"/>
  <c r="G222" i="2"/>
  <c r="G292" i="2"/>
  <c r="G199" i="2"/>
  <c r="G150" i="2"/>
  <c r="G201" i="2"/>
  <c r="G338" i="2"/>
  <c r="G436" i="2"/>
  <c r="G196" i="2"/>
  <c r="G304" i="2"/>
  <c r="G240" i="2"/>
  <c r="G335" i="2"/>
  <c r="G309" i="2"/>
  <c r="G184" i="2"/>
  <c r="G188" i="2"/>
  <c r="G233" i="2"/>
  <c r="G460" i="2"/>
  <c r="G465" i="2"/>
  <c r="G244" i="2"/>
  <c r="G353" i="2"/>
  <c r="G390" i="2"/>
  <c r="G329" i="2"/>
  <c r="G260" i="2"/>
  <c r="G382" i="2"/>
  <c r="G369" i="2"/>
  <c r="G428" i="2"/>
  <c r="G378" i="2"/>
  <c r="G136" i="2"/>
  <c r="G251" i="2"/>
  <c r="G178" i="2"/>
  <c r="G179" i="2"/>
  <c r="G350" i="2"/>
  <c r="G221" i="2"/>
  <c r="G267" i="2"/>
  <c r="G226" i="2"/>
  <c r="G232" i="2"/>
  <c r="G334" i="2"/>
  <c r="G290" i="2"/>
  <c r="G195" i="2"/>
  <c r="G236" i="2"/>
  <c r="G311" i="2"/>
  <c r="G216" i="2"/>
  <c r="G208" i="2"/>
  <c r="G355" i="2"/>
  <c r="G342" i="2"/>
  <c r="G283" i="2"/>
  <c r="G261" i="2"/>
  <c r="G174" i="2"/>
  <c r="G319" i="2"/>
  <c r="G227" i="2"/>
  <c r="G229" i="2"/>
  <c r="G284" i="2"/>
  <c r="G300" i="2"/>
  <c r="G316" i="2"/>
  <c r="G348" i="2"/>
  <c r="G422" i="2"/>
  <c r="G430" i="2"/>
  <c r="G352" i="2"/>
  <c r="G357" i="2"/>
  <c r="G368" i="2"/>
  <c r="G414" i="2"/>
  <c r="G441" i="2"/>
  <c r="G332" i="2"/>
  <c r="G225" i="2"/>
  <c r="G323" i="2"/>
  <c r="G343" i="2"/>
  <c r="G247" i="2"/>
  <c r="G250" i="2"/>
  <c r="G206" i="2"/>
  <c r="G248" i="2"/>
  <c r="G246" i="2"/>
  <c r="G254" i="2"/>
  <c r="G262" i="2"/>
  <c r="G299" i="2"/>
  <c r="G305" i="2"/>
  <c r="G308" i="2"/>
  <c r="G331" i="2"/>
  <c r="G337" i="2"/>
  <c r="G340" i="2"/>
  <c r="G347" i="2"/>
  <c r="G263" i="2"/>
  <c r="G176" i="2"/>
  <c r="G218" i="2"/>
  <c r="G180" i="2"/>
  <c r="G212" i="2"/>
  <c r="G287" i="2"/>
  <c r="G312" i="2"/>
  <c r="G344" i="2"/>
  <c r="G404" i="2"/>
  <c r="G452" i="2"/>
  <c r="G363" i="2"/>
  <c r="G399" i="2"/>
  <c r="G341" i="2"/>
  <c r="G449" i="2"/>
  <c r="G220" i="2"/>
  <c r="G426" i="2"/>
  <c r="G272" i="2"/>
  <c r="G252" i="2"/>
  <c r="G268" i="2"/>
  <c r="G420" i="2"/>
  <c r="G356" i="2"/>
  <c r="G396" i="2"/>
  <c r="G401" i="2"/>
  <c r="G398" i="2"/>
  <c r="G462" i="2"/>
  <c r="G359" i="2"/>
  <c r="G376" i="2"/>
  <c r="G370" i="2"/>
  <c r="G447" i="2"/>
  <c r="G361" i="2"/>
  <c r="G375" i="2"/>
  <c r="G445" i="2"/>
  <c r="G434" i="2"/>
  <c r="G351" i="2"/>
  <c r="G395" i="2"/>
  <c r="G507" i="2"/>
  <c r="G494" i="2"/>
  <c r="G313" i="2"/>
  <c r="G377" i="2"/>
  <c r="G439" i="2"/>
  <c r="G453" i="2"/>
  <c r="G402" i="2"/>
  <c r="G463" i="2"/>
  <c r="G297" i="2"/>
  <c r="G424" i="2"/>
  <c r="G442" i="2"/>
  <c r="G456" i="2"/>
  <c r="G389" i="2"/>
  <c r="G471" i="2"/>
  <c r="G365" i="2"/>
  <c r="G491" i="2"/>
  <c r="G345" i="2"/>
  <c r="G470" i="2"/>
  <c r="G455" i="2"/>
  <c r="G544" i="2"/>
  <c r="G431" i="2"/>
  <c r="G429" i="2"/>
  <c r="G487" i="2"/>
  <c r="G522" i="2"/>
  <c r="G366" i="2"/>
  <c r="G527" i="2"/>
  <c r="G599" i="2"/>
  <c r="G704" i="2"/>
  <c r="G673" i="2"/>
  <c r="G550" i="2"/>
  <c r="G695" i="2"/>
  <c r="G564" i="2"/>
  <c r="G755" i="2"/>
  <c r="G388" i="2"/>
  <c r="G358" i="2"/>
  <c r="G405" i="2"/>
  <c r="G454" i="2"/>
  <c r="G410" i="2"/>
  <c r="G480" i="2"/>
  <c r="G374" i="2"/>
  <c r="G502" i="2"/>
  <c r="G554" i="2"/>
  <c r="G386" i="2"/>
  <c r="G466" i="2"/>
  <c r="G433" i="2"/>
  <c r="G415" i="2"/>
  <c r="G512" i="2"/>
  <c r="G700" i="2"/>
  <c r="G418" i="2"/>
  <c r="G789" i="2"/>
  <c r="G446" i="2"/>
  <c r="G413" i="2"/>
  <c r="G392" i="2"/>
  <c r="G732" i="2"/>
  <c r="G444" i="2"/>
  <c r="G508" i="2"/>
  <c r="G579" i="2"/>
  <c r="G450" i="2"/>
  <c r="G728" i="2"/>
  <c r="G409" i="2"/>
  <c r="G270" i="2"/>
  <c r="G464" i="2"/>
  <c r="G416" i="2"/>
  <c r="G397" i="2"/>
  <c r="G457" i="2"/>
  <c r="G663" i="2"/>
  <c r="G354" i="2"/>
  <c r="G438" i="2"/>
  <c r="G408" i="2"/>
  <c r="G364" i="2"/>
  <c r="G367" i="2"/>
  <c r="G643" i="2"/>
  <c r="G493" i="2"/>
  <c r="G393" i="2"/>
  <c r="G437" i="2"/>
  <c r="G552" i="2"/>
  <c r="G634" i="2"/>
  <c r="G533" i="2"/>
  <c r="G567" i="2"/>
  <c r="G425" i="2"/>
  <c r="G738" i="2"/>
  <c r="G385" i="2"/>
  <c r="G472" i="2"/>
  <c r="G627" i="2"/>
  <c r="G612" i="2"/>
  <c r="G459" i="2"/>
  <c r="G547" i="2"/>
  <c r="G484" i="2"/>
  <c r="G549" i="2"/>
  <c r="G555" i="2"/>
  <c r="G559" i="2"/>
  <c r="G737" i="2"/>
  <c r="G802" i="2"/>
  <c r="G661" i="2"/>
  <c r="G613" i="2"/>
  <c r="G829" i="2"/>
  <c r="G469" i="2"/>
  <c r="G735" i="2"/>
  <c r="G505" i="2"/>
  <c r="G654" i="2"/>
  <c r="G698" i="2"/>
  <c r="G639" i="2"/>
  <c r="G708" i="2"/>
  <c r="G659" i="2"/>
  <c r="G427" i="2"/>
  <c r="G400" i="2"/>
  <c r="G411" i="2"/>
  <c r="G435" i="2"/>
  <c r="G504" i="2"/>
  <c r="G391" i="2"/>
  <c r="G488" i="2"/>
  <c r="G406" i="2"/>
  <c r="G588" i="2"/>
  <c r="G417" i="2"/>
  <c r="G499" i="2"/>
  <c r="G580" i="2"/>
  <c r="G412" i="2"/>
  <c r="G536" i="2"/>
  <c r="G528" i="2"/>
  <c r="G371" i="2"/>
  <c r="G483" i="2"/>
  <c r="G535" i="2"/>
  <c r="G473" i="2"/>
  <c r="G387" i="2"/>
  <c r="G694" i="2"/>
  <c r="G746" i="2"/>
  <c r="G568" i="2"/>
  <c r="G630" i="2"/>
  <c r="G541" i="2"/>
  <c r="G475" i="2"/>
  <c r="G530" i="2"/>
  <c r="G486" i="2"/>
  <c r="G558" i="2"/>
  <c r="G677" i="2"/>
  <c r="G606" i="2"/>
  <c r="G665" i="2"/>
  <c r="G524" i="2"/>
  <c r="G858" i="2"/>
  <c r="G685" i="2"/>
  <c r="G503" i="2"/>
  <c r="G656" i="2"/>
  <c r="G701" i="2"/>
  <c r="G1024" i="2"/>
  <c r="G968" i="2"/>
  <c r="G649" i="2"/>
  <c r="G770" i="2"/>
  <c r="G813" i="2"/>
  <c r="G885" i="2"/>
  <c r="G978" i="2"/>
  <c r="G476" i="2"/>
  <c r="G764" i="2"/>
  <c r="G878" i="2"/>
  <c r="G51" i="2"/>
  <c r="G492" i="2"/>
  <c r="G403" i="2"/>
  <c r="G712" i="2"/>
  <c r="G869" i="2"/>
  <c r="G935" i="2"/>
  <c r="G1038" i="2"/>
  <c r="G482" i="2"/>
  <c r="G380" i="2"/>
  <c r="G515" i="2"/>
  <c r="G362" i="2"/>
  <c r="G379" i="2"/>
  <c r="G693" i="2"/>
  <c r="G963" i="2"/>
  <c r="G467" i="2"/>
  <c r="G635" i="2"/>
  <c r="G485" i="2"/>
  <c r="G743" i="2"/>
  <c r="G877" i="2"/>
  <c r="G816" i="2"/>
  <c r="G360" i="2"/>
  <c r="G542" i="2"/>
  <c r="G585" i="2"/>
  <c r="G619" i="2"/>
  <c r="G571" i="2"/>
  <c r="G520" i="2"/>
  <c r="G432" i="2"/>
  <c r="G923" i="2"/>
  <c r="G778" i="2"/>
  <c r="G531" i="2"/>
  <c r="G617" i="2"/>
  <c r="G523" i="2"/>
  <c r="G730" i="2"/>
  <c r="G683" i="2"/>
  <c r="G517" i="2"/>
  <c r="G1015" i="2"/>
  <c r="G807" i="2"/>
  <c r="G729" i="2"/>
  <c r="G840" i="2"/>
  <c r="G987" i="2"/>
  <c r="G953" i="2"/>
  <c r="G920" i="2"/>
  <c r="G796" i="2"/>
  <c r="G824" i="2"/>
  <c r="G767" i="2"/>
  <c r="G394" i="2"/>
  <c r="G495" i="2"/>
  <c r="G687" i="2"/>
  <c r="G500" i="2"/>
  <c r="G782" i="2"/>
  <c r="G496" i="2"/>
  <c r="G423" i="2"/>
  <c r="G647" i="2"/>
  <c r="G451" i="2"/>
  <c r="G548" i="2"/>
  <c r="G607" i="2"/>
  <c r="G699" i="2"/>
  <c r="G384" i="2"/>
  <c r="G926" i="2"/>
  <c r="G645" i="2"/>
  <c r="G513" i="2"/>
  <c r="G572" i="2"/>
  <c r="G697" i="2"/>
  <c r="G383" i="2"/>
  <c r="G592" i="2"/>
  <c r="G666" i="2"/>
  <c r="G678" i="2"/>
  <c r="G651" i="2"/>
  <c r="G516" i="2"/>
  <c r="G511" i="2"/>
  <c r="G1039" i="2"/>
  <c r="G907" i="2"/>
  <c r="G836" i="2"/>
  <c r="G628" i="2"/>
  <c r="G584" i="2"/>
  <c r="G886" i="2"/>
  <c r="G863" i="2"/>
  <c r="G603" i="2"/>
  <c r="G615" i="2"/>
  <c r="G731" i="2"/>
  <c r="G812" i="2"/>
  <c r="G748" i="2"/>
  <c r="G981" i="2"/>
  <c r="G908" i="2"/>
  <c r="G852" i="2"/>
  <c r="G1001" i="2"/>
  <c r="G790" i="2"/>
  <c r="G976" i="2"/>
  <c r="G875" i="2"/>
  <c r="G808" i="2"/>
  <c r="G497" i="2"/>
  <c r="G594" i="2"/>
  <c r="G589" i="2"/>
  <c r="G736" i="2"/>
  <c r="G622" i="2"/>
  <c r="G828" i="2"/>
  <c r="G959" i="2"/>
  <c r="G904" i="2"/>
  <c r="G696" i="2"/>
  <c r="G857" i="2"/>
  <c r="G900" i="2"/>
  <c r="G752" i="2"/>
  <c r="G458" i="2"/>
  <c r="G593" i="2"/>
  <c r="G882" i="2"/>
  <c r="G803" i="2"/>
  <c r="G938" i="2"/>
  <c r="G1016" i="2"/>
  <c r="G448" i="2"/>
  <c r="G652" i="2"/>
  <c r="G532" i="2"/>
  <c r="G440" i="2"/>
  <c r="G791" i="2"/>
  <c r="G590" i="2"/>
  <c r="G583" i="2"/>
  <c r="G557" i="2"/>
  <c r="G670" i="2"/>
  <c r="G679" i="2"/>
  <c r="G718" i="2"/>
  <c r="G186" i="2"/>
  <c r="G534" i="2"/>
  <c r="G834" i="2"/>
  <c r="G811" i="2"/>
  <c r="G1035" i="2"/>
  <c r="G722" i="2"/>
  <c r="G893" i="2"/>
  <c r="G538" i="2"/>
  <c r="G610" i="2"/>
  <c r="G799" i="2"/>
  <c r="G800" i="2"/>
  <c r="G721" i="2"/>
  <c r="G618" i="2"/>
  <c r="G419" i="2"/>
  <c r="G754" i="2"/>
  <c r="G868" i="2"/>
  <c r="G609" i="2"/>
  <c r="G1013" i="2"/>
  <c r="G525" i="2"/>
  <c r="G750" i="2"/>
  <c r="G633" i="2"/>
  <c r="G756" i="2"/>
  <c r="G620" i="2"/>
  <c r="G876" i="2"/>
  <c r="G637" i="2"/>
  <c r="G853" i="2"/>
  <c r="G631" i="2"/>
  <c r="G910" i="2"/>
  <c r="G980" i="2"/>
  <c r="G898" i="2"/>
  <c r="G686" i="2"/>
  <c r="G551" i="2"/>
  <c r="G917" i="2"/>
  <c r="G785" i="2"/>
  <c r="G915" i="2"/>
  <c r="G896" i="2"/>
  <c r="G966" i="2"/>
  <c r="G999" i="2"/>
  <c r="G638" i="2"/>
  <c r="G276" i="2"/>
  <c r="G509" i="2"/>
  <c r="G759" i="2"/>
  <c r="G597" i="2"/>
  <c r="G768" i="2"/>
  <c r="G519" i="2"/>
  <c r="G641" i="2"/>
  <c r="G553" i="2"/>
  <c r="G914" i="2"/>
  <c r="G864" i="2"/>
  <c r="G860" i="2"/>
  <c r="G871" i="2"/>
  <c r="G655" i="2"/>
  <c r="G715" i="2"/>
  <c r="G660" i="2"/>
  <c r="G771" i="2"/>
  <c r="G925" i="2"/>
  <c r="G894" i="2"/>
  <c r="G753" i="2"/>
  <c r="G510" i="2"/>
  <c r="G862" i="2"/>
  <c r="G556" i="2"/>
  <c r="G514" i="2"/>
  <c r="G591" i="2"/>
  <c r="G624" i="2"/>
  <c r="G880" i="2"/>
  <c r="G970" i="2"/>
  <c r="G888" i="2"/>
  <c r="G739" i="2"/>
  <c r="G776" i="2"/>
  <c r="G692" i="2"/>
  <c r="G668" i="2"/>
  <c r="G443" i="2"/>
  <c r="G611" i="2"/>
  <c r="G717" i="2"/>
  <c r="G830" i="2"/>
  <c r="G621" i="2"/>
  <c r="G569" i="2"/>
  <c r="G856" i="2"/>
  <c r="G911" i="2"/>
  <c r="G805" i="2"/>
  <c r="G1042" i="2"/>
  <c r="G977" i="2"/>
  <c r="G866" i="2"/>
  <c r="G821" i="2"/>
  <c r="G682" i="2"/>
  <c r="G578" i="2"/>
  <c r="G936" i="2"/>
  <c r="G854" i="2"/>
  <c r="G827" i="2"/>
  <c r="G707" i="2"/>
  <c r="G468" i="2"/>
  <c r="G598" i="2"/>
  <c r="G644" i="2"/>
  <c r="G832" i="2"/>
  <c r="G847" i="2"/>
  <c r="G560" i="2"/>
  <c r="G629" i="2"/>
  <c r="G1027" i="2"/>
  <c r="G733" i="2"/>
  <c r="G676" i="2"/>
  <c r="G573" i="2"/>
  <c r="G779" i="2"/>
  <c r="G940" i="2"/>
  <c r="G859" i="2"/>
  <c r="G667" i="2"/>
  <c r="G658" i="2"/>
  <c r="G993" i="2"/>
  <c r="G763" i="2"/>
  <c r="G1008" i="2"/>
  <c r="G997" i="2"/>
  <c r="G608" i="2"/>
  <c r="G874" i="2"/>
  <c r="G951" i="2"/>
  <c r="G950" i="2"/>
  <c r="G998" i="2"/>
  <c r="G574" i="2"/>
  <c r="G563" i="2"/>
  <c r="G872" i="2"/>
  <c r="G870" i="2"/>
  <c r="G1046" i="2"/>
  <c r="G664" i="2"/>
  <c r="G1047" i="2"/>
  <c r="G988" i="2"/>
  <c r="G927" i="2"/>
  <c r="G1021" i="2"/>
  <c r="G381" i="2"/>
  <c r="G942" i="2"/>
  <c r="G498" i="2"/>
  <c r="G845" i="2"/>
  <c r="G879" i="2"/>
  <c r="G899" i="2"/>
  <c r="G784" i="2"/>
  <c r="G751" i="2"/>
  <c r="G780" i="2"/>
  <c r="G838" i="2"/>
  <c r="G786" i="2"/>
  <c r="G844" i="2"/>
  <c r="G822" i="2"/>
  <c r="G867" i="2"/>
  <c r="G961" i="2"/>
  <c r="G758" i="2"/>
  <c r="G962" i="2"/>
  <c r="G849" i="2"/>
  <c r="G1033" i="2"/>
  <c r="G1011" i="2"/>
  <c r="G719" i="2"/>
  <c r="G688" i="2"/>
  <c r="G605" i="2"/>
  <c r="G996" i="2"/>
  <c r="G792" i="2"/>
  <c r="G842" i="2"/>
  <c r="G586" i="2"/>
  <c r="G705" i="2"/>
  <c r="G373" i="2"/>
  <c r="G518" i="2"/>
  <c r="G1010" i="2"/>
  <c r="G740" i="2"/>
  <c r="G761" i="2"/>
  <c r="G566" i="2"/>
  <c r="G711" i="2"/>
  <c r="G991" i="2"/>
  <c r="G1029" i="2"/>
  <c r="G723" i="2"/>
  <c r="G540" i="2"/>
  <c r="G747" i="2"/>
  <c r="G765" i="2"/>
  <c r="G1045" i="2"/>
  <c r="G967" i="2"/>
  <c r="G819" i="2"/>
  <c r="G680" i="2"/>
  <c r="G587" i="2"/>
  <c r="G837" i="2"/>
  <c r="G690" i="2"/>
  <c r="G939" i="2"/>
  <c r="G810" i="2"/>
  <c r="G545" i="2"/>
  <c r="G727" i="2"/>
  <c r="G461" i="2"/>
  <c r="G831" i="2"/>
  <c r="G706" i="2"/>
  <c r="G1032" i="2"/>
  <c r="G902" i="2"/>
  <c r="G596" i="2"/>
  <c r="G543" i="2"/>
  <c r="G804" i="2"/>
  <c r="G890" i="2"/>
  <c r="G1034" i="2"/>
  <c r="G954" i="2"/>
  <c r="G1009" i="2"/>
  <c r="G774" i="2"/>
  <c r="G937" i="2"/>
  <c r="G989" i="2"/>
  <c r="G839" i="2"/>
  <c r="G576" i="2"/>
  <c r="G795" i="2"/>
  <c r="G919" i="2"/>
  <c r="G501" i="2"/>
  <c r="G734" i="2"/>
  <c r="G1005" i="2"/>
  <c r="G1000" i="2"/>
  <c r="G1012" i="2"/>
  <c r="G648" i="2"/>
  <c r="G944" i="2"/>
  <c r="G957" i="2"/>
  <c r="G958" i="2"/>
  <c r="G1022" i="2"/>
  <c r="G479" i="2"/>
  <c r="G865" i="2"/>
  <c r="G883" i="2"/>
  <c r="G674" i="2"/>
  <c r="G994" i="2"/>
  <c r="G1030" i="2"/>
  <c r="G818" i="2"/>
  <c r="G892" i="2"/>
  <c r="G889" i="2"/>
  <c r="G1028" i="2"/>
  <c r="G1020" i="2"/>
  <c r="G815" i="2"/>
  <c r="G766" i="2"/>
  <c r="G1002" i="2"/>
  <c r="G1017" i="2"/>
  <c r="G861" i="2"/>
  <c r="G713" i="2"/>
  <c r="G929" i="2"/>
  <c r="G948" i="2"/>
  <c r="G632" i="2"/>
  <c r="G930" i="2"/>
  <c r="G1025" i="2"/>
  <c r="G945" i="2"/>
  <c r="G952" i="2"/>
  <c r="G990" i="2"/>
  <c r="G600" i="2"/>
  <c r="G825" i="2"/>
  <c r="G956" i="2"/>
  <c r="G769" i="2"/>
  <c r="G946" i="2"/>
  <c r="G1026" i="2"/>
  <c r="G1043" i="2"/>
  <c r="G1036" i="2"/>
  <c r="G955" i="2"/>
  <c r="G1040" i="2"/>
  <c r="G725" i="2"/>
  <c r="G975" i="2"/>
  <c r="G1019" i="2"/>
  <c r="G965" i="2"/>
  <c r="G974" i="2"/>
  <c r="G931" i="2"/>
  <c r="G1041" i="2"/>
  <c r="G983" i="2"/>
  <c r="G562" i="2"/>
  <c r="G783" i="2"/>
  <c r="G884" i="2"/>
  <c r="G820" i="2"/>
  <c r="G895" i="2"/>
  <c r="G817" i="2"/>
  <c r="G526" i="2"/>
  <c r="G601" i="2"/>
  <c r="G964" i="2"/>
  <c r="G684" i="2"/>
  <c r="G918" i="2"/>
  <c r="G640" i="2"/>
  <c r="G489" i="2"/>
  <c r="G941" i="2"/>
  <c r="G924" i="2"/>
  <c r="G846" i="2"/>
  <c r="G985" i="2"/>
  <c r="G798" i="2"/>
  <c r="G943" i="2"/>
  <c r="G650" i="2"/>
  <c r="G581" i="2"/>
  <c r="G826" i="2"/>
  <c r="G947" i="2"/>
  <c r="G1018" i="2"/>
  <c r="G891" i="2"/>
  <c r="G646" i="2"/>
  <c r="G741" i="2"/>
  <c r="G916" i="2"/>
  <c r="G616" i="2"/>
  <c r="G814" i="2"/>
  <c r="G801" i="2"/>
  <c r="G973" i="2"/>
  <c r="G960" i="2"/>
  <c r="G979" i="2"/>
  <c r="G806" i="2"/>
  <c r="G636" i="2"/>
  <c r="G407" i="2"/>
  <c r="G575" i="2"/>
  <c r="G724" i="2"/>
  <c r="G744" i="2"/>
  <c r="G772" i="2"/>
  <c r="G565" i="2"/>
  <c r="G604" i="2"/>
  <c r="G833" i="2"/>
  <c r="G478" i="2"/>
  <c r="G681" i="2"/>
  <c r="G625" i="2"/>
  <c r="G932" i="2"/>
  <c r="G823" i="2"/>
  <c r="G602" i="2"/>
  <c r="G539" i="2"/>
  <c r="G710" i="2"/>
  <c r="G745" i="2"/>
  <c r="G773" i="2"/>
  <c r="G1031" i="2"/>
  <c r="G781" i="2"/>
  <c r="G689" i="2"/>
  <c r="G848" i="2"/>
  <c r="G777" i="2"/>
  <c r="G873" i="2"/>
  <c r="G421" i="2"/>
  <c r="G912" i="2"/>
  <c r="G850" i="2"/>
  <c r="G481" i="2"/>
  <c r="G897" i="2"/>
  <c r="G669" i="2"/>
  <c r="G561" i="2"/>
  <c r="G992" i="2"/>
  <c r="G675" i="2"/>
  <c r="G657" i="2"/>
  <c r="G716" i="2"/>
  <c r="G762" i="2"/>
  <c r="G913" i="2"/>
  <c r="G794" i="2"/>
  <c r="G477" i="2"/>
  <c r="G809" i="2"/>
  <c r="G570" i="2"/>
  <c r="G1023" i="2"/>
  <c r="G642" i="2"/>
  <c r="G1004" i="2"/>
  <c r="G835" i="2"/>
  <c r="G851" i="2"/>
  <c r="G949" i="2"/>
  <c r="G841" i="2"/>
  <c r="G703" i="2"/>
  <c r="G749" i="2"/>
  <c r="G1014" i="2"/>
  <c r="G1037" i="2"/>
  <c r="G546" i="2"/>
  <c r="G986" i="2"/>
  <c r="G662" i="2"/>
  <c r="G672" i="2"/>
  <c r="G921" i="2"/>
  <c r="G1003" i="2"/>
  <c r="G626" i="2"/>
  <c r="G928" i="2"/>
  <c r="G903" i="2"/>
  <c r="G742" i="2"/>
  <c r="G521" i="2"/>
  <c r="G537" i="2"/>
  <c r="G760" i="2"/>
  <c r="G901" i="2"/>
  <c r="G933" i="2"/>
  <c r="G720" i="2"/>
  <c r="G623" i="2"/>
  <c r="G474" i="2"/>
  <c r="G614" i="2"/>
  <c r="G909" i="2"/>
  <c r="G793" i="2"/>
  <c r="G702" i="2"/>
  <c r="G691" i="2"/>
  <c r="G757" i="2"/>
  <c r="G529" i="2"/>
  <c r="G984" i="2"/>
  <c r="G1007" i="2"/>
  <c r="G905" i="2"/>
  <c r="G726" i="2"/>
  <c r="G843" i="2"/>
  <c r="G934" i="2"/>
  <c r="G881" i="2"/>
  <c r="G887" i="2"/>
  <c r="G971" i="2"/>
  <c r="G995" i="2"/>
  <c r="G1048" i="2"/>
  <c r="G775" i="2"/>
  <c r="G595" i="2"/>
  <c r="G1044" i="2"/>
  <c r="G1049" i="2"/>
  <c r="G1006" i="2"/>
  <c r="G787" i="2"/>
  <c r="G855" i="2"/>
  <c r="G906" i="2"/>
  <c r="G969" i="2"/>
  <c r="G577" i="2"/>
  <c r="G506" i="2"/>
  <c r="G714" i="2"/>
  <c r="G972" i="2"/>
  <c r="G922" i="2"/>
  <c r="G582" i="2"/>
  <c r="G653" i="2"/>
  <c r="G788" i="2"/>
  <c r="G797" i="2"/>
  <c r="G671" i="2"/>
  <c r="G490" i="2"/>
  <c r="G982" i="2"/>
  <c r="G709" i="2"/>
  <c r="G45" i="2" l="1"/>
  <c r="F10" i="2" s="1"/>
  <c r="M5" i="2" s="1"/>
  <c r="G46" i="2"/>
  <c r="G47" i="2" s="1"/>
</calcChain>
</file>

<file path=xl/sharedStrings.xml><?xml version="1.0" encoding="utf-8"?>
<sst xmlns="http://schemas.openxmlformats.org/spreadsheetml/2006/main" count="69" uniqueCount="52">
  <si>
    <t>lambda</t>
  </si>
  <si>
    <t>A0</t>
  </si>
  <si>
    <t>F</t>
  </si>
  <si>
    <t>alpha</t>
  </si>
  <si>
    <t>sigma</t>
  </si>
  <si>
    <t>rand</t>
  </si>
  <si>
    <t xml:space="preserve">Case Numer </t>
  </si>
  <si>
    <t xml:space="preserve">Random Number </t>
  </si>
  <si>
    <t>index</t>
  </si>
  <si>
    <t>AssetValue</t>
  </si>
  <si>
    <t xml:space="preserve">Scheduled debt payment </t>
  </si>
  <si>
    <t xml:space="preserve">Scheduled Interest Payment </t>
  </si>
  <si>
    <t>risk free rate</t>
  </si>
  <si>
    <t xml:space="preserve">Debt </t>
  </si>
  <si>
    <t>D</t>
  </si>
  <si>
    <t>Scheduled principle</t>
  </si>
  <si>
    <t xml:space="preserve">Defualt </t>
  </si>
  <si>
    <t xml:space="preserve">Actual Debt Payment </t>
  </si>
  <si>
    <t xml:space="preserve">disress cost </t>
  </si>
  <si>
    <t xml:space="preserve">asset after distress cost </t>
  </si>
  <si>
    <t>Principla allocation</t>
  </si>
  <si>
    <t>Interest Allocation</t>
  </si>
  <si>
    <t>Proforma</t>
  </si>
  <si>
    <t>Asset</t>
  </si>
  <si>
    <t>Debt Payment</t>
  </si>
  <si>
    <t>Tax</t>
  </si>
  <si>
    <t>tax rate</t>
  </si>
  <si>
    <t>Appreciation Asset</t>
  </si>
  <si>
    <t>Equity</t>
  </si>
  <si>
    <t>EBITDA</t>
  </si>
  <si>
    <t xml:space="preserve">Expected return of debt </t>
  </si>
  <si>
    <t xml:space="preserve">Balance sheet </t>
  </si>
  <si>
    <t xml:space="preserve">Asset </t>
  </si>
  <si>
    <t xml:space="preserve">Equity </t>
  </si>
  <si>
    <t>Distress loss</t>
  </si>
  <si>
    <t xml:space="preserve">Total Liability </t>
  </si>
  <si>
    <t>Parameters</t>
  </si>
  <si>
    <t>Average</t>
  </si>
  <si>
    <t>StDev</t>
  </si>
  <si>
    <t>MaxError</t>
  </si>
  <si>
    <t>Value</t>
  </si>
  <si>
    <t xml:space="preserve">Expected return </t>
  </si>
  <si>
    <t>Expected Return</t>
  </si>
  <si>
    <t>Debt</t>
  </si>
  <si>
    <t>E+D</t>
  </si>
  <si>
    <t>Expected return</t>
  </si>
  <si>
    <t>Index</t>
  </si>
  <si>
    <t xml:space="preserve">Simulation </t>
  </si>
  <si>
    <t xml:space="preserve">Exp return </t>
  </si>
  <si>
    <t xml:space="preserve">Index </t>
  </si>
  <si>
    <t>Find Optimal Debt Level</t>
  </si>
  <si>
    <t xml:space="preserve">Unite Change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</si>
</sst>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9" fontId="0" fillId="0" borderId="0" xfId="0" applyNumberFormat="1"/>
    <xf numFmtId="2" fontId="0" fillId="0" borderId="0" xfId="0" applyNumberFormat="1"/>
    <xf numFmtId="0" fontId="0" fillId="0" borderId="0" xfId="0" applyNumberFormat="1"/>
    <xf numFmtId="0" fontId="0" fillId="0" borderId="0" xfId="1" applyNumberFormat="1" applyFont="1"/>
    <xf numFmtId="0" fontId="0" fillId="0" borderId="0" xfId="0" applyFill="1"/>
    <xf numFmtId="0" fontId="0" fillId="0" borderId="1" xfId="0" applyBorder="1"/>
    <xf numFmtId="0" fontId="0" fillId="0" borderId="2" xfId="0" applyBorder="1"/>
    <xf numFmtId="9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0" fontId="0" fillId="2" borderId="0" xfId="0" applyFill="1" applyBorder="1"/>
    <xf numFmtId="0" fontId="0" fillId="0" borderId="3" xfId="0" applyFill="1" applyBorder="1"/>
    <xf numFmtId="0" fontId="0" fillId="0" borderId="4" xfId="0" applyBorder="1"/>
    <xf numFmtId="0" fontId="0" fillId="0" borderId="4" xfId="0" applyFill="1" applyBorder="1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4" xfId="0" applyNumberFormat="1" applyBorder="1"/>
    <xf numFmtId="0" fontId="0" fillId="0" borderId="1" xfId="0" applyNumberFormat="1" applyBorder="1"/>
    <xf numFmtId="0" fontId="3" fillId="0" borderId="0" xfId="1" applyNumberFormat="1" applyFont="1"/>
    <xf numFmtId="0" fontId="2" fillId="0" borderId="0" xfId="0" applyFont="1" applyBorder="1"/>
    <xf numFmtId="0" fontId="2" fillId="3" borderId="1" xfId="0" applyFont="1" applyFill="1" applyBorder="1"/>
    <xf numFmtId="0" fontId="0" fillId="3" borderId="1" xfId="0" applyFill="1" applyBorder="1"/>
    <xf numFmtId="0" fontId="4" fillId="3" borderId="1" xfId="0" applyFont="1" applyFill="1" applyBorder="1"/>
    <xf numFmtId="0" fontId="0" fillId="3" borderId="2" xfId="0" applyFill="1" applyBorder="1"/>
    <xf numFmtId="0" fontId="2" fillId="3" borderId="2" xfId="0" applyFont="1" applyFill="1" applyBorder="1"/>
    <xf numFmtId="0" fontId="0" fillId="3" borderId="0" xfId="0" applyFill="1"/>
    <xf numFmtId="0" fontId="2" fillId="3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0" borderId="9" xfId="0" applyBorder="1"/>
    <xf numFmtId="9" fontId="0" fillId="0" borderId="0" xfId="0" applyNumberFormat="1" applyBorder="1"/>
    <xf numFmtId="0" fontId="0" fillId="3" borderId="0" xfId="0" applyFill="1" applyBorder="1"/>
    <xf numFmtId="0" fontId="4" fillId="0" borderId="2" xfId="0" applyFont="1" applyFill="1" applyBorder="1"/>
    <xf numFmtId="0" fontId="2" fillId="3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="0" i="0" baseline="0">
                <a:effectLst/>
              </a:rPr>
              <a:t>Value vs Debt Level</a:t>
            </a:r>
            <a:endParaRPr lang="en-US" sz="9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Sheet2!$I$9:$I$29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Sheet2!$L$9:$L$29</c:f>
              <c:numCache>
                <c:formatCode>General</c:formatCode>
                <c:ptCount val="21"/>
                <c:pt idx="0">
                  <c:v>108.92063481878506</c:v>
                </c:pt>
                <c:pt idx="1">
                  <c:v>108.95528714049831</c:v>
                </c:pt>
                <c:pt idx="2">
                  <c:v>108.98993946221147</c:v>
                </c:pt>
                <c:pt idx="3">
                  <c:v>109.02459178392452</c:v>
                </c:pt>
                <c:pt idx="4">
                  <c:v>109.05924410563773</c:v>
                </c:pt>
                <c:pt idx="5">
                  <c:v>109.09389642735093</c:v>
                </c:pt>
                <c:pt idx="6">
                  <c:v>109.12854874906415</c:v>
                </c:pt>
                <c:pt idx="7">
                  <c:v>109.16320107077735</c:v>
                </c:pt>
                <c:pt idx="8">
                  <c:v>109.19785339249047</c:v>
                </c:pt>
                <c:pt idx="9">
                  <c:v>109.23250571420363</c:v>
                </c:pt>
                <c:pt idx="10">
                  <c:v>109.26715803591682</c:v>
                </c:pt>
                <c:pt idx="11">
                  <c:v>109.28006583987121</c:v>
                </c:pt>
                <c:pt idx="12">
                  <c:v>109.29033127947277</c:v>
                </c:pt>
                <c:pt idx="13">
                  <c:v>109.1677110436716</c:v>
                </c:pt>
                <c:pt idx="14">
                  <c:v>108.97682470162633</c:v>
                </c:pt>
                <c:pt idx="15">
                  <c:v>108.75474156617778</c:v>
                </c:pt>
                <c:pt idx="16">
                  <c:v>108.19385957906401</c:v>
                </c:pt>
                <c:pt idx="17">
                  <c:v>107.49056494109456</c:v>
                </c:pt>
                <c:pt idx="18">
                  <c:v>106.46587800743518</c:v>
                </c:pt>
                <c:pt idx="19">
                  <c:v>105.28002740473887</c:v>
                </c:pt>
                <c:pt idx="20">
                  <c:v>103.91043402398098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3-394F-9DAB-19FAE36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603376"/>
        <c:axId val="102796320"/>
      </c:barChart>
      <c:catAx>
        <c:axId val="826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"/>
                  <a:t>Debt</a:t>
                </a:r>
                <a:r>
                  <a:rPr lang="en-US" sz="600" baseline="0"/>
                  <a:t>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96320"/>
        <c:crosses val="autoZero"/>
        <c:auto val="1"/>
        <c:lblAlgn val="ctr"/>
        <c:lblOffset val="100"/>
        <c:noMultiLvlLbl val="0"/>
      </c:catAx>
      <c:valAx>
        <c:axId val="10279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0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774700</xdr:colOff>
          <xdr:row>0</xdr:row>
          <xdr:rowOff>114300</xdr:rowOff>
        </xdr:from>
        <xdr:to>
          <xdr:col>10</xdr:col>
          <xdr:colOff>812800</xdr:colOff>
          <xdr:row>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363362</xdr:colOff>
      <xdr:row>7</xdr:row>
      <xdr:rowOff>10132</xdr:rowOff>
    </xdr:from>
    <xdr:to>
      <xdr:col>17</xdr:col>
      <xdr:colOff>722341</xdr:colOff>
      <xdr:row>18</xdr:row>
      <xdr:rowOff>20705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C1EB9-FF21-A941-877B-4CE1E5289A5F}">
  <sheetPr codeName="Sheet1"/>
  <dimension ref="B1:M1049"/>
  <sheetViews>
    <sheetView tabSelected="1" zoomScale="90" workbookViewId="0">
      <selection activeCell="I29" sqref="I29:M29"/>
    </sheetView>
  </sheetViews>
  <sheetFormatPr baseColWidth="10" defaultRowHeight="16" x14ac:dyDescent="0.2"/>
  <cols>
    <col min="2" max="2" width="20" customWidth="1"/>
    <col min="3" max="3" width="12.1640625" customWidth="1"/>
    <col min="13" max="13" width="15.1640625" customWidth="1"/>
  </cols>
  <sheetData>
    <row r="1" spans="2:13" x14ac:dyDescent="0.2">
      <c r="B1" s="24" t="s">
        <v>36</v>
      </c>
      <c r="C1" s="23"/>
      <c r="E1" s="22" t="s">
        <v>31</v>
      </c>
      <c r="F1" s="23"/>
      <c r="G1" s="21"/>
      <c r="H1" s="38" t="s">
        <v>50</v>
      </c>
      <c r="I1" s="36"/>
      <c r="J1" s="36"/>
      <c r="K1" s="36"/>
      <c r="L1" s="27"/>
      <c r="M1" s="27"/>
    </row>
    <row r="2" spans="2:13" x14ac:dyDescent="0.2">
      <c r="B2" t="s">
        <v>0</v>
      </c>
      <c r="C2" s="1">
        <v>0.2</v>
      </c>
      <c r="E2" s="6" t="s">
        <v>32</v>
      </c>
      <c r="F2" s="6">
        <f>C45</f>
        <v>116.15909045611218</v>
      </c>
      <c r="G2" s="9"/>
      <c r="H2" s="9" t="s">
        <v>51</v>
      </c>
      <c r="I2" s="9">
        <v>5</v>
      </c>
      <c r="J2" s="9"/>
      <c r="K2" s="9"/>
    </row>
    <row r="3" spans="2:13" ht="17" thickBot="1" x14ac:dyDescent="0.25">
      <c r="B3" t="s">
        <v>1</v>
      </c>
      <c r="C3">
        <v>100</v>
      </c>
      <c r="E3" t="s">
        <v>13</v>
      </c>
      <c r="F3">
        <f>D45</f>
        <v>89.995844521755743</v>
      </c>
      <c r="G3" s="9"/>
      <c r="H3" s="9"/>
      <c r="I3" s="9"/>
      <c r="J3" s="9"/>
      <c r="K3" s="9"/>
    </row>
    <row r="4" spans="2:13" x14ac:dyDescent="0.2">
      <c r="B4" t="s">
        <v>3</v>
      </c>
      <c r="C4" s="1">
        <v>0.15</v>
      </c>
      <c r="E4" t="s">
        <v>33</v>
      </c>
      <c r="F4">
        <f>F45</f>
        <v>13.91458950222524</v>
      </c>
      <c r="G4" s="9"/>
      <c r="H4" s="29" t="s">
        <v>49</v>
      </c>
      <c r="I4" s="30" t="s">
        <v>13</v>
      </c>
      <c r="J4" s="30" t="s">
        <v>28</v>
      </c>
      <c r="K4" s="30" t="s">
        <v>43</v>
      </c>
      <c r="L4" s="30" t="s">
        <v>44</v>
      </c>
      <c r="M4" s="31" t="s">
        <v>45</v>
      </c>
    </row>
    <row r="5" spans="2:13" ht="17" thickBot="1" x14ac:dyDescent="0.25">
      <c r="B5" t="s">
        <v>4</v>
      </c>
      <c r="C5" s="1">
        <v>0.25</v>
      </c>
      <c r="E5" t="s">
        <v>25</v>
      </c>
      <c r="F5">
        <f>E45</f>
        <v>6.766712318709228</v>
      </c>
      <c r="G5" s="9"/>
      <c r="H5" s="32">
        <v>20</v>
      </c>
      <c r="I5" s="33">
        <f>H5*I2</f>
        <v>100</v>
      </c>
      <c r="J5" s="33">
        <f>F4</f>
        <v>13.91458950222524</v>
      </c>
      <c r="K5" s="33">
        <f>F3</f>
        <v>89.995844521755743</v>
      </c>
      <c r="L5" s="33">
        <f>J5+K5</f>
        <v>103.91043402398098</v>
      </c>
      <c r="M5" s="34">
        <f>F10</f>
        <v>-0.10259037323831485</v>
      </c>
    </row>
    <row r="6" spans="2:13" x14ac:dyDescent="0.2">
      <c r="B6" t="s">
        <v>2</v>
      </c>
      <c r="C6" s="20">
        <f>I5</f>
        <v>100</v>
      </c>
      <c r="E6" s="6" t="s">
        <v>34</v>
      </c>
      <c r="F6" s="6">
        <f>F2-SUM(F3:F5)</f>
        <v>5.4819441134219744</v>
      </c>
      <c r="G6" s="9"/>
      <c r="H6" s="9"/>
    </row>
    <row r="7" spans="2:13" x14ac:dyDescent="0.2">
      <c r="B7" t="s">
        <v>14</v>
      </c>
      <c r="C7" s="4">
        <f>C6/EXP(C8)</f>
        <v>98.019867330675538</v>
      </c>
      <c r="E7" s="7" t="s">
        <v>35</v>
      </c>
      <c r="F7" s="7">
        <f>SUM(F3:F6)</f>
        <v>116.15909045611218</v>
      </c>
      <c r="G7" s="9"/>
      <c r="H7" s="9"/>
    </row>
    <row r="8" spans="2:13" x14ac:dyDescent="0.2">
      <c r="B8" t="s">
        <v>12</v>
      </c>
      <c r="C8" s="1">
        <v>0.02</v>
      </c>
      <c r="G8" s="9"/>
      <c r="H8" s="37" t="s">
        <v>46</v>
      </c>
      <c r="I8" s="37" t="s">
        <v>13</v>
      </c>
      <c r="J8" s="37" t="s">
        <v>28</v>
      </c>
      <c r="K8" s="37" t="s">
        <v>43</v>
      </c>
      <c r="L8" s="37" t="s">
        <v>44</v>
      </c>
      <c r="M8" s="37" t="s">
        <v>45</v>
      </c>
    </row>
    <row r="9" spans="2:13" x14ac:dyDescent="0.2">
      <c r="B9" s="6" t="s">
        <v>26</v>
      </c>
      <c r="C9" s="8">
        <v>0.35</v>
      </c>
      <c r="E9" t="s">
        <v>40</v>
      </c>
      <c r="F9">
        <f>F3+F4</f>
        <v>103.91043402398098</v>
      </c>
      <c r="H9" s="9">
        <v>0</v>
      </c>
      <c r="I9" s="9">
        <v>0</v>
      </c>
      <c r="J9" s="9">
        <v>108.92063481878506</v>
      </c>
      <c r="K9" s="9">
        <v>0</v>
      </c>
      <c r="L9" s="9">
        <v>108.92063481878506</v>
      </c>
      <c r="M9" s="9" t="e">
        <v>#DIV/0!</v>
      </c>
    </row>
    <row r="10" spans="2:13" x14ac:dyDescent="0.2">
      <c r="B10" s="1"/>
      <c r="E10" t="s">
        <v>42</v>
      </c>
      <c r="F10">
        <f>G45</f>
        <v>-0.10259037323831485</v>
      </c>
      <c r="H10" s="9">
        <v>1</v>
      </c>
      <c r="I10" s="9">
        <v>5</v>
      </c>
      <c r="J10" s="9">
        <v>103.95528714049831</v>
      </c>
      <c r="K10" s="9">
        <v>5</v>
      </c>
      <c r="L10" s="9">
        <v>108.95528714049831</v>
      </c>
      <c r="M10" s="9">
        <v>1.9999999999999664E-2</v>
      </c>
    </row>
    <row r="11" spans="2:13" x14ac:dyDescent="0.2">
      <c r="B11" s="1"/>
      <c r="H11" s="9">
        <v>2</v>
      </c>
      <c r="I11" s="9">
        <v>10</v>
      </c>
      <c r="J11" s="9">
        <v>98.989939462211467</v>
      </c>
      <c r="K11" s="9">
        <v>10</v>
      </c>
      <c r="L11" s="9">
        <v>108.98993946221147</v>
      </c>
      <c r="M11" s="9">
        <v>1.9999999999999664E-2</v>
      </c>
    </row>
    <row r="12" spans="2:13" x14ac:dyDescent="0.2">
      <c r="B12" s="1"/>
      <c r="H12" s="9">
        <v>3</v>
      </c>
      <c r="I12" s="9">
        <v>15</v>
      </c>
      <c r="J12" s="9">
        <v>94.024591783924521</v>
      </c>
      <c r="K12" s="9">
        <v>15</v>
      </c>
      <c r="L12" s="9">
        <v>109.02459178392452</v>
      </c>
      <c r="M12" s="9">
        <v>1.9999999999999664E-2</v>
      </c>
    </row>
    <row r="13" spans="2:13" x14ac:dyDescent="0.2">
      <c r="B13" s="1"/>
      <c r="H13" s="9">
        <v>4</v>
      </c>
      <c r="I13" s="9">
        <v>20</v>
      </c>
      <c r="J13" s="9">
        <v>89.059244105637731</v>
      </c>
      <c r="K13" s="9">
        <v>20</v>
      </c>
      <c r="L13" s="9">
        <v>109.05924410563773</v>
      </c>
      <c r="M13" s="9">
        <v>1.9999999999999664E-2</v>
      </c>
    </row>
    <row r="14" spans="2:13" x14ac:dyDescent="0.2">
      <c r="B14" s="1"/>
      <c r="H14" s="9">
        <v>5</v>
      </c>
      <c r="I14" s="9">
        <v>25</v>
      </c>
      <c r="J14" s="9">
        <v>84.093896427350927</v>
      </c>
      <c r="K14" s="9">
        <v>25</v>
      </c>
      <c r="L14" s="9">
        <v>109.09389642735093</v>
      </c>
      <c r="M14" s="9">
        <v>1.9999999999999664E-2</v>
      </c>
    </row>
    <row r="15" spans="2:13" x14ac:dyDescent="0.2">
      <c r="B15" s="1"/>
      <c r="H15" s="9">
        <v>6</v>
      </c>
      <c r="I15" s="9">
        <v>30</v>
      </c>
      <c r="J15" s="9">
        <v>79.128548749064151</v>
      </c>
      <c r="K15" s="9">
        <v>30</v>
      </c>
      <c r="L15" s="9">
        <v>109.12854874906415</v>
      </c>
      <c r="M15" s="9">
        <v>1.9999999999999664E-2</v>
      </c>
    </row>
    <row r="16" spans="2:13" x14ac:dyDescent="0.2">
      <c r="B16" s="26" t="s">
        <v>6</v>
      </c>
      <c r="C16" s="26">
        <v>8</v>
      </c>
      <c r="H16" s="9">
        <v>7</v>
      </c>
      <c r="I16" s="9">
        <v>35</v>
      </c>
      <c r="J16" s="9">
        <v>74.163201070777347</v>
      </c>
      <c r="K16" s="9">
        <v>35</v>
      </c>
      <c r="L16" s="9">
        <v>109.16320107077735</v>
      </c>
      <c r="M16" s="9">
        <v>1.9999999999999664E-2</v>
      </c>
    </row>
    <row r="17" spans="2:13" x14ac:dyDescent="0.2">
      <c r="B17" s="9"/>
      <c r="C17" s="9"/>
      <c r="H17" s="9">
        <v>8</v>
      </c>
      <c r="I17" s="9">
        <v>40</v>
      </c>
      <c r="J17" s="9">
        <v>69.197853392490472</v>
      </c>
      <c r="K17" s="9">
        <v>40</v>
      </c>
      <c r="L17" s="9">
        <v>109.19785339249047</v>
      </c>
      <c r="M17" s="9">
        <v>1.9999999999999664E-2</v>
      </c>
    </row>
    <row r="18" spans="2:13" x14ac:dyDescent="0.2">
      <c r="B18" s="9" t="s">
        <v>7</v>
      </c>
      <c r="C18" s="9">
        <f>VLOOKUP(C16,bbb,2)</f>
        <v>0.26188954789648755</v>
      </c>
      <c r="H18" s="9">
        <v>9</v>
      </c>
      <c r="I18" s="9">
        <v>45</v>
      </c>
      <c r="J18" s="9">
        <v>64.232505714203626</v>
      </c>
      <c r="K18" s="9">
        <v>45</v>
      </c>
      <c r="L18" s="9">
        <v>109.23250571420363</v>
      </c>
      <c r="M18" s="9">
        <v>1.9999999999999664E-2</v>
      </c>
    </row>
    <row r="19" spans="2:13" x14ac:dyDescent="0.2">
      <c r="B19" s="9" t="s">
        <v>9</v>
      </c>
      <c r="C19" s="9">
        <f>$C$3*EXP(($C$4-0.5*$C$5*$C$5)*1++$C$5*NORMSINV(C18))</f>
        <v>96.018171836635304</v>
      </c>
      <c r="H19" s="9">
        <v>10</v>
      </c>
      <c r="I19" s="9">
        <v>50</v>
      </c>
      <c r="J19" s="9">
        <v>59.267158035916822</v>
      </c>
      <c r="K19" s="9">
        <v>50</v>
      </c>
      <c r="L19" s="9">
        <v>109.26715803591682</v>
      </c>
      <c r="M19" s="9">
        <v>1.9999999999999664E-2</v>
      </c>
    </row>
    <row r="20" spans="2:13" x14ac:dyDescent="0.2">
      <c r="B20" s="9"/>
      <c r="C20" s="9"/>
      <c r="H20" s="9">
        <v>11</v>
      </c>
      <c r="I20" s="9">
        <v>55</v>
      </c>
      <c r="J20" s="9">
        <v>54.306250335713521</v>
      </c>
      <c r="K20" s="9">
        <v>54.973815504157692</v>
      </c>
      <c r="L20" s="9">
        <v>109.28006583987121</v>
      </c>
      <c r="M20" s="9">
        <v>1.945605356365987E-2</v>
      </c>
    </row>
    <row r="21" spans="2:13" x14ac:dyDescent="0.2">
      <c r="B21" s="9" t="s">
        <v>10</v>
      </c>
      <c r="C21" s="9">
        <f>$C$6</f>
        <v>100</v>
      </c>
      <c r="H21" s="9">
        <v>12</v>
      </c>
      <c r="I21" s="9">
        <v>60</v>
      </c>
      <c r="J21" s="9">
        <v>49.35270582590568</v>
      </c>
      <c r="K21" s="9">
        <v>59.937625453567087</v>
      </c>
      <c r="L21" s="9">
        <v>109.29033127947277</v>
      </c>
      <c r="M21" s="9">
        <v>1.8789683581407205E-2</v>
      </c>
    </row>
    <row r="22" spans="2:13" x14ac:dyDescent="0.2">
      <c r="B22" s="9" t="s">
        <v>11</v>
      </c>
      <c r="C22" s="9">
        <f>C21-C7</f>
        <v>1.9801326693244619</v>
      </c>
      <c r="H22" s="9">
        <v>13</v>
      </c>
      <c r="I22" s="9">
        <v>65</v>
      </c>
      <c r="J22" s="35">
        <v>44.423995846430266</v>
      </c>
      <c r="K22" s="35">
        <v>64.743715197241343</v>
      </c>
      <c r="L22" s="9">
        <v>109.1677110436716</v>
      </c>
      <c r="M22" s="9">
        <v>1.5441101248339672E-2</v>
      </c>
    </row>
    <row r="23" spans="2:13" x14ac:dyDescent="0.2">
      <c r="B23" s="9" t="s">
        <v>15</v>
      </c>
      <c r="C23" s="9">
        <f>C21-C22</f>
        <v>98.019867330675538</v>
      </c>
      <c r="H23" s="9">
        <v>14</v>
      </c>
      <c r="I23" s="9">
        <v>70</v>
      </c>
      <c r="J23" s="9">
        <v>39.565455578925388</v>
      </c>
      <c r="K23" s="9">
        <v>69.411369122700947</v>
      </c>
      <c r="L23" s="9">
        <v>108.97682470162633</v>
      </c>
      <c r="M23" s="9">
        <v>1.0168956784815568E-2</v>
      </c>
    </row>
    <row r="24" spans="2:13" x14ac:dyDescent="0.2">
      <c r="B24" s="9" t="s">
        <v>16</v>
      </c>
      <c r="C24" s="9">
        <f>IF(C19&gt;C21,0,1)</f>
        <v>1</v>
      </c>
      <c r="H24" s="9">
        <v>15</v>
      </c>
      <c r="I24" s="9">
        <v>75</v>
      </c>
      <c r="J24" s="9">
        <v>34.792687737278925</v>
      </c>
      <c r="K24" s="9">
        <v>73.96205382889886</v>
      </c>
      <c r="L24" s="9">
        <v>108.75474156617778</v>
      </c>
      <c r="M24" s="9">
        <v>3.5826230376694935E-3</v>
      </c>
    </row>
    <row r="25" spans="2:13" x14ac:dyDescent="0.2">
      <c r="B25" s="9" t="s">
        <v>18</v>
      </c>
      <c r="C25" s="9">
        <f>C19*0.2*C24</f>
        <v>19.203634367327062</v>
      </c>
      <c r="H25" s="9">
        <v>16</v>
      </c>
      <c r="I25" s="9">
        <v>80</v>
      </c>
      <c r="J25" s="9">
        <v>30.146814213428637</v>
      </c>
      <c r="K25" s="9">
        <v>78.04704536563537</v>
      </c>
      <c r="L25" s="9">
        <v>108.19385957906401</v>
      </c>
      <c r="M25" s="9">
        <v>-9.0800717880192769E-3</v>
      </c>
    </row>
    <row r="26" spans="2:13" x14ac:dyDescent="0.2">
      <c r="B26" s="9" t="s">
        <v>19</v>
      </c>
      <c r="C26" s="9">
        <f>C19-C25</f>
        <v>76.814537469308249</v>
      </c>
      <c r="H26" s="9">
        <v>17</v>
      </c>
      <c r="I26" s="9">
        <v>85</v>
      </c>
      <c r="J26" s="9">
        <v>25.694177970320883</v>
      </c>
      <c r="K26" s="9">
        <v>81.796386970773682</v>
      </c>
      <c r="L26" s="9">
        <v>107.49056494109456</v>
      </c>
      <c r="M26" s="9">
        <v>-2.52326022033817E-2</v>
      </c>
    </row>
    <row r="27" spans="2:13" x14ac:dyDescent="0.2">
      <c r="B27" s="9"/>
      <c r="C27" s="9"/>
      <c r="H27" s="9">
        <v>18</v>
      </c>
      <c r="I27" s="9">
        <v>90</v>
      </c>
      <c r="J27" s="9">
        <v>21.465756330965256</v>
      </c>
      <c r="K27" s="9">
        <v>85.000121676469917</v>
      </c>
      <c r="L27" s="9">
        <v>106.46587800743518</v>
      </c>
      <c r="M27" s="9">
        <v>-4.7062127765137594E-2</v>
      </c>
    </row>
    <row r="28" spans="2:13" x14ac:dyDescent="0.2">
      <c r="B28" s="9" t="s">
        <v>17</v>
      </c>
      <c r="C28" s="9">
        <f>MIN(C26,C21)</f>
        <v>76.814537469308249</v>
      </c>
      <c r="H28" s="9">
        <v>19</v>
      </c>
      <c r="I28" s="9">
        <v>95</v>
      </c>
      <c r="J28" s="9">
        <v>17.516848237842378</v>
      </c>
      <c r="K28" s="9">
        <v>87.763179166896492</v>
      </c>
      <c r="L28" s="9">
        <v>105.28002740473887</v>
      </c>
      <c r="M28" s="9">
        <v>-7.2628669015076128E-2</v>
      </c>
    </row>
    <row r="29" spans="2:13" x14ac:dyDescent="0.2">
      <c r="B29" s="9" t="s">
        <v>20</v>
      </c>
      <c r="C29" s="9">
        <f>C28-C30</f>
        <v>76.814537469308249</v>
      </c>
      <c r="H29" s="6">
        <v>20</v>
      </c>
      <c r="I29" s="6">
        <v>100</v>
      </c>
      <c r="J29" s="6">
        <v>13.91458950222524</v>
      </c>
      <c r="K29" s="6">
        <v>89.995844521755743</v>
      </c>
      <c r="L29" s="6">
        <v>103.91043402398098</v>
      </c>
      <c r="M29" s="6">
        <v>-0.10259037323831485</v>
      </c>
    </row>
    <row r="30" spans="2:13" x14ac:dyDescent="0.2">
      <c r="B30" s="9" t="s">
        <v>21</v>
      </c>
      <c r="C30" s="9">
        <f>MAX(C28-$C$7,0)</f>
        <v>0</v>
      </c>
    </row>
    <row r="31" spans="2:13" x14ac:dyDescent="0.2">
      <c r="B31" s="9"/>
      <c r="C31" s="9"/>
    </row>
    <row r="32" spans="2:13" x14ac:dyDescent="0.2">
      <c r="B32" s="9" t="s">
        <v>22</v>
      </c>
      <c r="C32" s="9"/>
    </row>
    <row r="33" spans="2:7" x14ac:dyDescent="0.2">
      <c r="B33" s="9" t="s">
        <v>23</v>
      </c>
      <c r="C33" s="9">
        <f>C19</f>
        <v>96.018171836635304</v>
      </c>
    </row>
    <row r="34" spans="2:7" x14ac:dyDescent="0.2">
      <c r="B34" s="9" t="s">
        <v>18</v>
      </c>
      <c r="C34" s="9">
        <f>C25</f>
        <v>19.203634367327062</v>
      </c>
    </row>
    <row r="35" spans="2:7" x14ac:dyDescent="0.2">
      <c r="B35" s="9" t="s">
        <v>29</v>
      </c>
      <c r="C35" s="9">
        <f>C33-C34</f>
        <v>76.814537469308249</v>
      </c>
    </row>
    <row r="36" spans="2:7" x14ac:dyDescent="0.2">
      <c r="B36" s="9" t="s">
        <v>27</v>
      </c>
      <c r="C36" s="10">
        <f>MAX(C33-C3,0)</f>
        <v>0</v>
      </c>
    </row>
    <row r="37" spans="2:7" x14ac:dyDescent="0.2">
      <c r="B37" s="9" t="s">
        <v>24</v>
      </c>
      <c r="C37" s="9">
        <f>C28</f>
        <v>76.814537469308249</v>
      </c>
    </row>
    <row r="38" spans="2:7" x14ac:dyDescent="0.2">
      <c r="B38" s="9" t="s">
        <v>25</v>
      </c>
      <c r="C38" s="11">
        <f>MIN((C36-C30)*C9, C35-C37)</f>
        <v>0</v>
      </c>
    </row>
    <row r="39" spans="2:7" x14ac:dyDescent="0.2">
      <c r="B39" s="9" t="s">
        <v>28</v>
      </c>
      <c r="C39" s="9">
        <f>C35-C37-C38</f>
        <v>0</v>
      </c>
    </row>
    <row r="40" spans="2:7" x14ac:dyDescent="0.2">
      <c r="B40" s="9"/>
      <c r="C40" s="9"/>
    </row>
    <row r="41" spans="2:7" ht="17" thickBot="1" x14ac:dyDescent="0.25">
      <c r="B41" s="12" t="s">
        <v>30</v>
      </c>
      <c r="C41" s="12">
        <v>0</v>
      </c>
      <c r="D41" s="5"/>
      <c r="E41" s="5"/>
    </row>
    <row r="42" spans="2:7" x14ac:dyDescent="0.2">
      <c r="B42" s="5"/>
      <c r="C42" s="5"/>
      <c r="D42" s="5"/>
      <c r="E42" s="5"/>
    </row>
    <row r="43" spans="2:7" x14ac:dyDescent="0.2">
      <c r="C43" s="5"/>
      <c r="D43" s="5"/>
      <c r="E43" s="5"/>
      <c r="F43" s="5"/>
      <c r="G43" s="5"/>
    </row>
    <row r="44" spans="2:7" x14ac:dyDescent="0.2">
      <c r="B44" s="28" t="s">
        <v>47</v>
      </c>
      <c r="C44" s="25" t="s">
        <v>23</v>
      </c>
      <c r="D44" s="25" t="s">
        <v>13</v>
      </c>
      <c r="E44" s="25" t="s">
        <v>25</v>
      </c>
      <c r="F44" s="25" t="s">
        <v>28</v>
      </c>
      <c r="G44" s="25" t="s">
        <v>48</v>
      </c>
    </row>
    <row r="45" spans="2:7" x14ac:dyDescent="0.2">
      <c r="B45" s="14" t="s">
        <v>37</v>
      </c>
      <c r="C45" s="14">
        <f>AVERAGE(C51:C1049)</f>
        <v>116.15909045611218</v>
      </c>
      <c r="D45" s="14">
        <f>AVERAGE(D51:D1049)</f>
        <v>89.995844521755743</v>
      </c>
      <c r="E45" s="14">
        <f t="shared" ref="E45:G45" si="0">AVERAGE(E51:E1049)</f>
        <v>6.766712318709228</v>
      </c>
      <c r="F45" s="14">
        <f t="shared" si="0"/>
        <v>13.91458950222524</v>
      </c>
      <c r="G45" s="14">
        <f t="shared" si="0"/>
        <v>-0.10259037323831485</v>
      </c>
    </row>
    <row r="46" spans="2:7" x14ac:dyDescent="0.2">
      <c r="B46" s="9" t="s">
        <v>38</v>
      </c>
      <c r="C46" s="15">
        <f>STDEV(C51:C1049)</f>
        <v>29.617279311115944</v>
      </c>
      <c r="D46" s="15">
        <f t="shared" ref="D46:G46" si="1">STDEV(D51:D1049)</f>
        <v>15.358151619488167</v>
      </c>
      <c r="E46" s="15">
        <f t="shared" si="1"/>
        <v>8.4734241416428357</v>
      </c>
      <c r="F46" s="15">
        <f t="shared" si="1"/>
        <v>16.260190196782688</v>
      </c>
      <c r="G46" s="15">
        <f t="shared" si="1"/>
        <v>0.1935441667116711</v>
      </c>
    </row>
    <row r="47" spans="2:7" x14ac:dyDescent="0.2">
      <c r="B47" s="16" t="s">
        <v>39</v>
      </c>
      <c r="C47" s="16">
        <f>C46/SQRT(1000)*1.96</f>
        <v>1.8356979901219779</v>
      </c>
      <c r="D47" s="16">
        <f t="shared" ref="D47:G47" si="2">D46/SQRT(1000)*1.96</f>
        <v>0.95190809944861043</v>
      </c>
      <c r="E47" s="16">
        <f t="shared" si="2"/>
        <v>0.52518826941767183</v>
      </c>
      <c r="F47" s="16">
        <f t="shared" si="2"/>
        <v>1.0078170297037456</v>
      </c>
      <c r="G47" s="16">
        <f t="shared" si="2"/>
        <v>1.1995991735105153E-2</v>
      </c>
    </row>
    <row r="48" spans="2:7" x14ac:dyDescent="0.2">
      <c r="B48" s="5"/>
      <c r="C48" s="5"/>
      <c r="D48" s="5"/>
      <c r="E48" s="5"/>
    </row>
    <row r="49" spans="2:7" x14ac:dyDescent="0.2">
      <c r="B49" s="17"/>
      <c r="C49" s="17" t="s">
        <v>23</v>
      </c>
      <c r="D49" s="17" t="s">
        <v>13</v>
      </c>
      <c r="E49" s="17" t="s">
        <v>25</v>
      </c>
      <c r="F49" s="17" t="s">
        <v>28</v>
      </c>
      <c r="G49" s="17" t="s">
        <v>41</v>
      </c>
    </row>
    <row r="50" spans="2:7" x14ac:dyDescent="0.2">
      <c r="B50" s="18"/>
      <c r="C50" s="13">
        <f>C33</f>
        <v>96.018171836635304</v>
      </c>
      <c r="D50" s="13">
        <f>C37</f>
        <v>76.814537469308249</v>
      </c>
      <c r="E50" s="13">
        <f>C38</f>
        <v>0</v>
      </c>
      <c r="F50" s="9">
        <f>C39</f>
        <v>0</v>
      </c>
      <c r="G50">
        <f>LN(D50/$C$7)</f>
        <v>-0.2437762737825987</v>
      </c>
    </row>
    <row r="51" spans="2:7" x14ac:dyDescent="0.2">
      <c r="B51" s="10">
        <v>1</v>
      </c>
      <c r="C51" s="9">
        <f t="dataTable" ref="C51:F1049" dt2D="0" dtr="0" r1="C16"/>
        <v>109.43078961611083</v>
      </c>
      <c r="D51" s="9">
        <v>100</v>
      </c>
      <c r="E51" s="9">
        <v>2.6077299313752285</v>
      </c>
      <c r="F51" s="9">
        <v>6.8230596847356004</v>
      </c>
      <c r="G51">
        <f t="shared" ref="G51:G114" si="3">LN(D51/$C$7)</f>
        <v>1.9999999999999966E-2</v>
      </c>
    </row>
    <row r="52" spans="2:7" x14ac:dyDescent="0.2">
      <c r="B52" s="10">
        <v>2</v>
      </c>
      <c r="C52" s="9">
        <v>131.63527080095679</v>
      </c>
      <c r="D52" s="9">
        <v>100</v>
      </c>
      <c r="E52" s="9">
        <v>10.379298346071314</v>
      </c>
      <c r="F52" s="9">
        <v>21.255972454885473</v>
      </c>
      <c r="G52">
        <f t="shared" si="3"/>
        <v>1.9999999999999966E-2</v>
      </c>
    </row>
    <row r="53" spans="2:7" x14ac:dyDescent="0.2">
      <c r="B53" s="10">
        <v>3</v>
      </c>
      <c r="C53" s="9">
        <v>107.6116685059243</v>
      </c>
      <c r="D53" s="9">
        <v>100</v>
      </c>
      <c r="E53" s="9">
        <v>1.9710375428099431</v>
      </c>
      <c r="F53" s="9">
        <v>5.6406309631143561</v>
      </c>
      <c r="G53">
        <f t="shared" si="3"/>
        <v>1.9999999999999966E-2</v>
      </c>
    </row>
    <row r="54" spans="2:7" x14ac:dyDescent="0.2">
      <c r="B54" s="10">
        <v>4</v>
      </c>
      <c r="C54" s="9">
        <v>156.932181921069</v>
      </c>
      <c r="D54" s="9">
        <v>100</v>
      </c>
      <c r="E54" s="9">
        <v>19.233217238110587</v>
      </c>
      <c r="F54" s="9">
        <v>37.698964682958419</v>
      </c>
      <c r="G54">
        <f t="shared" si="3"/>
        <v>1.9999999999999966E-2</v>
      </c>
    </row>
    <row r="55" spans="2:7" x14ac:dyDescent="0.2">
      <c r="B55" s="10">
        <v>5</v>
      </c>
      <c r="C55" s="9">
        <v>89.374836489317161</v>
      </c>
      <c r="D55" s="9">
        <v>71.499869191453726</v>
      </c>
      <c r="E55" s="9">
        <v>0</v>
      </c>
      <c r="F55" s="9">
        <v>0</v>
      </c>
      <c r="G55">
        <f t="shared" si="3"/>
        <v>-0.31547456577996069</v>
      </c>
    </row>
    <row r="56" spans="2:7" x14ac:dyDescent="0.2">
      <c r="B56" s="10">
        <v>6</v>
      </c>
      <c r="C56" s="9">
        <v>97.132455846283435</v>
      </c>
      <c r="D56" s="9">
        <v>77.705964677026742</v>
      </c>
      <c r="E56" s="9">
        <v>0</v>
      </c>
      <c r="F56" s="9">
        <v>0</v>
      </c>
      <c r="G56">
        <f t="shared" si="3"/>
        <v>-0.23223816609070802</v>
      </c>
    </row>
    <row r="57" spans="2:7" x14ac:dyDescent="0.2">
      <c r="B57" s="10">
        <v>7</v>
      </c>
      <c r="C57" s="9">
        <v>110.08028981328286</v>
      </c>
      <c r="D57" s="9">
        <v>100</v>
      </c>
      <c r="E57" s="9">
        <v>2.8350550003854393</v>
      </c>
      <c r="F57" s="9">
        <v>7.2452348128974204</v>
      </c>
      <c r="G57">
        <f t="shared" si="3"/>
        <v>1.9999999999999966E-2</v>
      </c>
    </row>
    <row r="58" spans="2:7" x14ac:dyDescent="0.2">
      <c r="B58" s="10">
        <v>8</v>
      </c>
      <c r="C58" s="9">
        <v>96.018171836635304</v>
      </c>
      <c r="D58" s="9">
        <v>76.814537469308249</v>
      </c>
      <c r="E58" s="9">
        <v>0</v>
      </c>
      <c r="F58" s="9">
        <v>0</v>
      </c>
      <c r="G58">
        <f t="shared" si="3"/>
        <v>-0.2437762737825987</v>
      </c>
    </row>
    <row r="59" spans="2:7" x14ac:dyDescent="0.2">
      <c r="B59" s="10">
        <v>9</v>
      </c>
      <c r="C59" s="9">
        <v>89.538781048982869</v>
      </c>
      <c r="D59" s="9">
        <v>71.631024839186296</v>
      </c>
      <c r="E59" s="9">
        <v>0</v>
      </c>
      <c r="F59" s="9">
        <v>0</v>
      </c>
      <c r="G59">
        <f t="shared" si="3"/>
        <v>-0.31364189806234627</v>
      </c>
    </row>
    <row r="60" spans="2:7" x14ac:dyDescent="0.2">
      <c r="B60" s="10">
        <v>10</v>
      </c>
      <c r="C60" s="9">
        <v>117.17829310965358</v>
      </c>
      <c r="D60" s="9">
        <v>100</v>
      </c>
      <c r="E60" s="9">
        <v>5.3193561541151908</v>
      </c>
      <c r="F60" s="9">
        <v>11.85893695553839</v>
      </c>
      <c r="G60">
        <f t="shared" si="3"/>
        <v>1.9999999999999966E-2</v>
      </c>
    </row>
    <row r="61" spans="2:7" x14ac:dyDescent="0.2">
      <c r="B61" s="10">
        <v>11</v>
      </c>
      <c r="C61" s="9">
        <v>81.542561825997169</v>
      </c>
      <c r="D61" s="9">
        <v>65.234049460797735</v>
      </c>
      <c r="E61" s="9">
        <v>0</v>
      </c>
      <c r="F61" s="9">
        <v>0</v>
      </c>
      <c r="G61">
        <f t="shared" si="3"/>
        <v>-0.40718862237680281</v>
      </c>
    </row>
    <row r="62" spans="2:7" x14ac:dyDescent="0.2">
      <c r="B62" s="10">
        <v>12</v>
      </c>
      <c r="C62" s="9">
        <v>163.42029734845596</v>
      </c>
      <c r="D62" s="9">
        <v>100</v>
      </c>
      <c r="E62" s="9">
        <v>21.504057637696022</v>
      </c>
      <c r="F62" s="9">
        <v>41.916239710759939</v>
      </c>
      <c r="G62">
        <f t="shared" si="3"/>
        <v>1.9999999999999966E-2</v>
      </c>
    </row>
    <row r="63" spans="2:7" x14ac:dyDescent="0.2">
      <c r="B63" s="10">
        <v>13</v>
      </c>
      <c r="C63" s="9">
        <v>99.185604632508785</v>
      </c>
      <c r="D63" s="9">
        <v>79.34848370600703</v>
      </c>
      <c r="E63" s="9">
        <v>0</v>
      </c>
      <c r="F63" s="9">
        <v>0</v>
      </c>
      <c r="G63">
        <f t="shared" si="3"/>
        <v>-0.21132084813326049</v>
      </c>
    </row>
    <row r="64" spans="2:7" x14ac:dyDescent="0.2">
      <c r="B64" s="10">
        <v>14</v>
      </c>
      <c r="C64" s="9">
        <v>140.01675116421029</v>
      </c>
      <c r="D64" s="9">
        <v>100</v>
      </c>
      <c r="E64" s="9">
        <v>13.31281647321004</v>
      </c>
      <c r="F64" s="9">
        <v>26.703934691000249</v>
      </c>
      <c r="G64">
        <f t="shared" si="3"/>
        <v>1.9999999999999966E-2</v>
      </c>
    </row>
    <row r="65" spans="2:7" x14ac:dyDescent="0.2">
      <c r="B65" s="10">
        <v>15</v>
      </c>
      <c r="C65" s="9">
        <v>94.524550513916623</v>
      </c>
      <c r="D65" s="9">
        <v>75.619640411133304</v>
      </c>
      <c r="E65" s="9">
        <v>0</v>
      </c>
      <c r="F65" s="9">
        <v>0</v>
      </c>
      <c r="G65">
        <f t="shared" si="3"/>
        <v>-0.25945414274510975</v>
      </c>
    </row>
    <row r="66" spans="2:7" x14ac:dyDescent="0.2">
      <c r="B66" s="10">
        <v>16</v>
      </c>
      <c r="C66" s="9">
        <v>104.46563568279295</v>
      </c>
      <c r="D66" s="9">
        <v>100</v>
      </c>
      <c r="E66" s="9">
        <v>0.86992605471397078</v>
      </c>
      <c r="F66" s="9">
        <v>3.5957096280789793</v>
      </c>
      <c r="G66">
        <f t="shared" si="3"/>
        <v>1.9999999999999966E-2</v>
      </c>
    </row>
    <row r="67" spans="2:7" x14ac:dyDescent="0.2">
      <c r="B67" s="10">
        <v>17</v>
      </c>
      <c r="C67" s="9">
        <v>87.3021021538366</v>
      </c>
      <c r="D67" s="9">
        <v>69.841681723069286</v>
      </c>
      <c r="E67" s="9">
        <v>0</v>
      </c>
      <c r="F67" s="9">
        <v>0</v>
      </c>
      <c r="G67">
        <f t="shared" si="3"/>
        <v>-0.33893919509216908</v>
      </c>
    </row>
    <row r="68" spans="2:7" x14ac:dyDescent="0.2">
      <c r="B68" s="10">
        <v>18</v>
      </c>
      <c r="C68" s="9">
        <v>134.20962327557731</v>
      </c>
      <c r="D68" s="9">
        <v>100</v>
      </c>
      <c r="E68" s="9">
        <v>11.280321712188497</v>
      </c>
      <c r="F68" s="9">
        <v>22.929301563388819</v>
      </c>
      <c r="G68">
        <f t="shared" si="3"/>
        <v>1.9999999999999966E-2</v>
      </c>
    </row>
    <row r="69" spans="2:7" x14ac:dyDescent="0.2">
      <c r="B69" s="10">
        <v>19</v>
      </c>
      <c r="C69" s="9">
        <v>127.50545996964284</v>
      </c>
      <c r="D69" s="9">
        <v>100</v>
      </c>
      <c r="E69" s="9">
        <v>8.9338645551114322</v>
      </c>
      <c r="F69" s="9">
        <v>18.571595414531409</v>
      </c>
      <c r="G69">
        <f t="shared" si="3"/>
        <v>1.9999999999999966E-2</v>
      </c>
    </row>
    <row r="70" spans="2:7" x14ac:dyDescent="0.2">
      <c r="B70" s="10">
        <v>20</v>
      </c>
      <c r="C70" s="9">
        <v>82.012056955396019</v>
      </c>
      <c r="D70" s="9">
        <v>65.609645564316821</v>
      </c>
      <c r="E70" s="9">
        <v>0</v>
      </c>
      <c r="F70" s="9">
        <v>0</v>
      </c>
      <c r="G70">
        <f t="shared" si="3"/>
        <v>-0.40144746480537241</v>
      </c>
    </row>
    <row r="71" spans="2:7" x14ac:dyDescent="0.2">
      <c r="B71" s="10">
        <v>21</v>
      </c>
      <c r="C71" s="9">
        <v>141.72324992305028</v>
      </c>
      <c r="D71" s="9">
        <v>100</v>
      </c>
      <c r="E71" s="9">
        <v>13.910091038804033</v>
      </c>
      <c r="F71" s="9">
        <v>27.813158884246242</v>
      </c>
      <c r="G71">
        <f t="shared" si="3"/>
        <v>1.9999999999999966E-2</v>
      </c>
    </row>
    <row r="72" spans="2:7" x14ac:dyDescent="0.2">
      <c r="B72" s="10">
        <v>22</v>
      </c>
      <c r="C72" s="9">
        <v>114.58852330007565</v>
      </c>
      <c r="D72" s="9">
        <v>100</v>
      </c>
      <c r="E72" s="9">
        <v>4.4129367207629153</v>
      </c>
      <c r="F72" s="9">
        <v>10.175586579312736</v>
      </c>
      <c r="G72">
        <f t="shared" si="3"/>
        <v>1.9999999999999966E-2</v>
      </c>
    </row>
    <row r="73" spans="2:7" x14ac:dyDescent="0.2">
      <c r="B73" s="10">
        <v>23</v>
      </c>
      <c r="C73" s="9">
        <v>139.7341822749159</v>
      </c>
      <c r="D73" s="9">
        <v>100</v>
      </c>
      <c r="E73" s="9">
        <v>13.213917361957002</v>
      </c>
      <c r="F73" s="9">
        <v>26.520264912958893</v>
      </c>
      <c r="G73">
        <f t="shared" si="3"/>
        <v>1.9999999999999966E-2</v>
      </c>
    </row>
    <row r="74" spans="2:7" x14ac:dyDescent="0.2">
      <c r="B74" s="10">
        <v>24</v>
      </c>
      <c r="C74" s="9">
        <v>153.55590717679328</v>
      </c>
      <c r="D74" s="9">
        <v>100</v>
      </c>
      <c r="E74" s="9">
        <v>18.051521077614087</v>
      </c>
      <c r="F74" s="9">
        <v>35.5043860991792</v>
      </c>
      <c r="G74">
        <f t="shared" si="3"/>
        <v>1.9999999999999966E-2</v>
      </c>
    </row>
    <row r="75" spans="2:7" x14ac:dyDescent="0.2">
      <c r="B75" s="10">
        <v>25</v>
      </c>
      <c r="C75" s="9">
        <v>95.545796638948417</v>
      </c>
      <c r="D75" s="9">
        <v>76.436637311158734</v>
      </c>
      <c r="E75" s="9">
        <v>0</v>
      </c>
      <c r="F75" s="9">
        <v>0</v>
      </c>
      <c r="G75">
        <f t="shared" si="3"/>
        <v>-0.248708058803458</v>
      </c>
    </row>
    <row r="76" spans="2:7" x14ac:dyDescent="0.2">
      <c r="B76" s="10">
        <v>26</v>
      </c>
      <c r="C76" s="9">
        <v>74.940195404068703</v>
      </c>
      <c r="D76" s="9">
        <v>59.952156323254961</v>
      </c>
      <c r="E76" s="9">
        <v>0</v>
      </c>
      <c r="F76" s="9">
        <v>0</v>
      </c>
      <c r="G76">
        <f t="shared" si="3"/>
        <v>-0.49162333646659778</v>
      </c>
    </row>
    <row r="77" spans="2:7" x14ac:dyDescent="0.2">
      <c r="B77" s="10">
        <v>27</v>
      </c>
      <c r="C77" s="9">
        <v>125.03518220987819</v>
      </c>
      <c r="D77" s="9">
        <v>100</v>
      </c>
      <c r="E77" s="9">
        <v>8.0692673391938037</v>
      </c>
      <c r="F77" s="9">
        <v>16.965914870684383</v>
      </c>
      <c r="G77">
        <f t="shared" si="3"/>
        <v>1.9999999999999966E-2</v>
      </c>
    </row>
    <row r="78" spans="2:7" x14ac:dyDescent="0.2">
      <c r="B78" s="10">
        <v>28</v>
      </c>
      <c r="C78" s="9">
        <v>121.99203130661394</v>
      </c>
      <c r="D78" s="9">
        <v>100</v>
      </c>
      <c r="E78" s="9">
        <v>7.0041645230513163</v>
      </c>
      <c r="F78" s="9">
        <v>14.987866783562623</v>
      </c>
      <c r="G78">
        <f t="shared" si="3"/>
        <v>1.9999999999999966E-2</v>
      </c>
    </row>
    <row r="79" spans="2:7" x14ac:dyDescent="0.2">
      <c r="B79" s="10">
        <v>29</v>
      </c>
      <c r="C79" s="9">
        <v>144.99842232013444</v>
      </c>
      <c r="D79" s="9">
        <v>100</v>
      </c>
      <c r="E79" s="9">
        <v>15.056401377783491</v>
      </c>
      <c r="F79" s="9">
        <v>29.942020942350947</v>
      </c>
      <c r="G79">
        <f t="shared" si="3"/>
        <v>1.9999999999999966E-2</v>
      </c>
    </row>
    <row r="80" spans="2:7" x14ac:dyDescent="0.2">
      <c r="B80" s="10">
        <v>30</v>
      </c>
      <c r="C80" s="9">
        <v>168.48230365862335</v>
      </c>
      <c r="D80" s="9">
        <v>100</v>
      </c>
      <c r="E80" s="9">
        <v>23.275759846254608</v>
      </c>
      <c r="F80" s="9">
        <v>45.206543812368743</v>
      </c>
      <c r="G80">
        <f t="shared" si="3"/>
        <v>1.9999999999999966E-2</v>
      </c>
    </row>
    <row r="81" spans="2:7" x14ac:dyDescent="0.2">
      <c r="B81" s="10">
        <v>31</v>
      </c>
      <c r="C81" s="9">
        <v>70.980524251754986</v>
      </c>
      <c r="D81" s="9">
        <v>56.784419401403987</v>
      </c>
      <c r="E81" s="9">
        <v>0</v>
      </c>
      <c r="F81" s="9">
        <v>0</v>
      </c>
      <c r="G81">
        <f t="shared" si="3"/>
        <v>-0.54590820420315411</v>
      </c>
    </row>
    <row r="82" spans="2:7" x14ac:dyDescent="0.2">
      <c r="B82" s="10">
        <v>32</v>
      </c>
      <c r="C82" s="9">
        <v>113.46997788555888</v>
      </c>
      <c r="D82" s="9">
        <v>100</v>
      </c>
      <c r="E82" s="9">
        <v>4.0214458256820445</v>
      </c>
      <c r="F82" s="9">
        <v>9.4485320598768325</v>
      </c>
      <c r="G82">
        <f t="shared" si="3"/>
        <v>1.9999999999999966E-2</v>
      </c>
    </row>
    <row r="83" spans="2:7" x14ac:dyDescent="0.2">
      <c r="B83" s="10">
        <v>33</v>
      </c>
      <c r="C83" s="9">
        <v>156.35064594010757</v>
      </c>
      <c r="D83" s="9">
        <v>100</v>
      </c>
      <c r="E83" s="9">
        <v>19.029679644774085</v>
      </c>
      <c r="F83" s="9">
        <v>37.320966295333484</v>
      </c>
      <c r="G83">
        <f t="shared" si="3"/>
        <v>1.9999999999999966E-2</v>
      </c>
    </row>
    <row r="84" spans="2:7" x14ac:dyDescent="0.2">
      <c r="B84" s="10">
        <v>34</v>
      </c>
      <c r="C84" s="9">
        <v>103.04833848304911</v>
      </c>
      <c r="D84" s="9">
        <v>100</v>
      </c>
      <c r="E84" s="9">
        <v>0.37387203480362596</v>
      </c>
      <c r="F84" s="9">
        <v>2.6744664482454814</v>
      </c>
      <c r="G84">
        <f t="shared" si="3"/>
        <v>1.9999999999999966E-2</v>
      </c>
    </row>
    <row r="85" spans="2:7" x14ac:dyDescent="0.2">
      <c r="B85" s="10">
        <v>35</v>
      </c>
      <c r="C85" s="9">
        <v>125.68166093505191</v>
      </c>
      <c r="D85" s="9">
        <v>100</v>
      </c>
      <c r="E85" s="9">
        <v>8.2955348930046053</v>
      </c>
      <c r="F85" s="9">
        <v>17.386126042047302</v>
      </c>
      <c r="G85">
        <f t="shared" si="3"/>
        <v>1.9999999999999966E-2</v>
      </c>
    </row>
    <row r="86" spans="2:7" x14ac:dyDescent="0.2">
      <c r="B86" s="10">
        <v>36</v>
      </c>
      <c r="C86" s="9">
        <v>79.910147905237579</v>
      </c>
      <c r="D86" s="9">
        <v>63.928118324190066</v>
      </c>
      <c r="E86" s="9">
        <v>0</v>
      </c>
      <c r="F86" s="9">
        <v>0</v>
      </c>
      <c r="G86">
        <f t="shared" si="3"/>
        <v>-0.42741088501991287</v>
      </c>
    </row>
    <row r="87" spans="2:7" x14ac:dyDescent="0.2">
      <c r="B87" s="10">
        <v>37</v>
      </c>
      <c r="C87" s="9">
        <v>87.07232290601074</v>
      </c>
      <c r="D87" s="9">
        <v>69.657858324808586</v>
      </c>
      <c r="E87" s="9">
        <v>0</v>
      </c>
      <c r="F87" s="9">
        <v>0</v>
      </c>
      <c r="G87">
        <f t="shared" si="3"/>
        <v>-0.34157466621409877</v>
      </c>
    </row>
    <row r="88" spans="2:7" x14ac:dyDescent="0.2">
      <c r="B88" s="10">
        <v>38</v>
      </c>
      <c r="C88" s="9">
        <v>103.85728897766901</v>
      </c>
      <c r="D88" s="9">
        <v>100</v>
      </c>
      <c r="E88" s="9">
        <v>0.6570047079205934</v>
      </c>
      <c r="F88" s="9">
        <v>3.2002842697484213</v>
      </c>
      <c r="G88">
        <f t="shared" si="3"/>
        <v>1.9999999999999966E-2</v>
      </c>
    </row>
    <row r="89" spans="2:7" x14ac:dyDescent="0.2">
      <c r="B89" s="10">
        <v>39</v>
      </c>
      <c r="C89" s="9">
        <v>129.34269088635503</v>
      </c>
      <c r="D89" s="9">
        <v>100</v>
      </c>
      <c r="E89" s="9">
        <v>9.5768953759606976</v>
      </c>
      <c r="F89" s="9">
        <v>19.765795510394334</v>
      </c>
      <c r="G89">
        <f t="shared" si="3"/>
        <v>1.9999999999999966E-2</v>
      </c>
    </row>
    <row r="90" spans="2:7" x14ac:dyDescent="0.2">
      <c r="B90" s="10">
        <v>40</v>
      </c>
      <c r="C90" s="9">
        <v>93.315175156348715</v>
      </c>
      <c r="D90" s="9">
        <v>74.652140125078972</v>
      </c>
      <c r="E90" s="9">
        <v>0</v>
      </c>
      <c r="F90" s="9">
        <v>0</v>
      </c>
      <c r="G90">
        <f t="shared" si="3"/>
        <v>-0.27233099362510016</v>
      </c>
    </row>
    <row r="91" spans="2:7" x14ac:dyDescent="0.2">
      <c r="B91" s="10">
        <v>41</v>
      </c>
      <c r="C91" s="9">
        <v>129.96819073102901</v>
      </c>
      <c r="D91" s="9">
        <v>100</v>
      </c>
      <c r="E91" s="9">
        <v>9.795820321596592</v>
      </c>
      <c r="F91" s="9">
        <v>20.172370409432418</v>
      </c>
      <c r="G91">
        <f t="shared" si="3"/>
        <v>1.9999999999999966E-2</v>
      </c>
    </row>
    <row r="92" spans="2:7" x14ac:dyDescent="0.2">
      <c r="B92" s="10">
        <v>42</v>
      </c>
      <c r="C92" s="9">
        <v>146.30650293884125</v>
      </c>
      <c r="D92" s="9">
        <v>100</v>
      </c>
      <c r="E92" s="9">
        <v>15.514229594330875</v>
      </c>
      <c r="F92" s="9">
        <v>30.792273344510374</v>
      </c>
      <c r="G92">
        <f t="shared" si="3"/>
        <v>1.9999999999999966E-2</v>
      </c>
    </row>
    <row r="93" spans="2:7" x14ac:dyDescent="0.2">
      <c r="B93" s="10">
        <v>43</v>
      </c>
      <c r="C93" s="9">
        <v>107.40265924202343</v>
      </c>
      <c r="D93" s="9">
        <v>100</v>
      </c>
      <c r="E93" s="9">
        <v>1.8978843004446395</v>
      </c>
      <c r="F93" s="9">
        <v>5.504774941578793</v>
      </c>
      <c r="G93">
        <f t="shared" si="3"/>
        <v>1.9999999999999966E-2</v>
      </c>
    </row>
    <row r="94" spans="2:7" x14ac:dyDescent="0.2">
      <c r="B94" s="10">
        <v>44</v>
      </c>
      <c r="C94" s="9">
        <v>100.25884293054088</v>
      </c>
      <c r="D94" s="9">
        <v>100</v>
      </c>
      <c r="E94" s="9">
        <v>-0.60245140857425383</v>
      </c>
      <c r="F94" s="9">
        <v>0.86129433911513331</v>
      </c>
      <c r="G94">
        <f t="shared" si="3"/>
        <v>1.9999999999999966E-2</v>
      </c>
    </row>
    <row r="95" spans="2:7" x14ac:dyDescent="0.2">
      <c r="B95" s="10">
        <v>45</v>
      </c>
      <c r="C95" s="9">
        <v>68.249728942008105</v>
      </c>
      <c r="D95" s="9">
        <v>54.599783153606481</v>
      </c>
      <c r="E95" s="9">
        <v>0</v>
      </c>
      <c r="F95" s="9">
        <v>0</v>
      </c>
      <c r="G95">
        <f t="shared" si="3"/>
        <v>-0.58514027479078756</v>
      </c>
    </row>
    <row r="96" spans="2:7" x14ac:dyDescent="0.2">
      <c r="B96" s="10">
        <v>46</v>
      </c>
      <c r="C96" s="9">
        <v>97.594237327844198</v>
      </c>
      <c r="D96" s="9">
        <v>78.075389862275358</v>
      </c>
      <c r="E96" s="9">
        <v>0</v>
      </c>
      <c r="F96" s="9">
        <v>0</v>
      </c>
      <c r="G96">
        <f t="shared" si="3"/>
        <v>-0.22749528939849459</v>
      </c>
    </row>
    <row r="97" spans="2:7" x14ac:dyDescent="0.2">
      <c r="B97" s="10">
        <v>47</v>
      </c>
      <c r="C97" s="9">
        <v>123.78212589278634</v>
      </c>
      <c r="D97" s="9">
        <v>100</v>
      </c>
      <c r="E97" s="9">
        <v>7.6306976282116565</v>
      </c>
      <c r="F97" s="9">
        <v>16.151428264574683</v>
      </c>
      <c r="G97">
        <f t="shared" si="3"/>
        <v>1.9999999999999966E-2</v>
      </c>
    </row>
    <row r="98" spans="2:7" x14ac:dyDescent="0.2">
      <c r="B98" s="10">
        <v>48</v>
      </c>
      <c r="C98" s="9">
        <v>130.3566990829263</v>
      </c>
      <c r="D98" s="9">
        <v>100</v>
      </c>
      <c r="E98" s="9">
        <v>9.9317982447606425</v>
      </c>
      <c r="F98" s="9">
        <v>20.424900838165655</v>
      </c>
      <c r="G98">
        <f t="shared" si="3"/>
        <v>1.9999999999999966E-2</v>
      </c>
    </row>
    <row r="99" spans="2:7" x14ac:dyDescent="0.2">
      <c r="B99" s="10">
        <v>49</v>
      </c>
      <c r="C99" s="9">
        <v>80.212497961076394</v>
      </c>
      <c r="D99" s="9">
        <v>64.169998368861116</v>
      </c>
      <c r="E99" s="9">
        <v>0</v>
      </c>
      <c r="F99" s="9">
        <v>0</v>
      </c>
      <c r="G99">
        <f t="shared" si="3"/>
        <v>-0.42363439964469357</v>
      </c>
    </row>
    <row r="100" spans="2:7" x14ac:dyDescent="0.2">
      <c r="B100" s="10">
        <v>50</v>
      </c>
      <c r="C100" s="9">
        <v>143.79287413977767</v>
      </c>
      <c r="D100" s="9">
        <v>100</v>
      </c>
      <c r="E100" s="9">
        <v>14.634459514658621</v>
      </c>
      <c r="F100" s="9">
        <v>29.158414625119043</v>
      </c>
      <c r="G100">
        <f t="shared" si="3"/>
        <v>1.9999999999999966E-2</v>
      </c>
    </row>
    <row r="101" spans="2:7" x14ac:dyDescent="0.2">
      <c r="B101" s="10">
        <v>51</v>
      </c>
      <c r="C101" s="9">
        <v>158.72884860195893</v>
      </c>
      <c r="D101" s="9">
        <v>100</v>
      </c>
      <c r="E101" s="9">
        <v>19.862050576422064</v>
      </c>
      <c r="F101" s="9">
        <v>38.866798025536866</v>
      </c>
      <c r="G101">
        <f t="shared" si="3"/>
        <v>1.9999999999999966E-2</v>
      </c>
    </row>
    <row r="102" spans="2:7" x14ac:dyDescent="0.2">
      <c r="B102" s="10">
        <v>52</v>
      </c>
      <c r="C102" s="9">
        <v>151.51534979962165</v>
      </c>
      <c r="D102" s="9">
        <v>100</v>
      </c>
      <c r="E102" s="9">
        <v>17.337325995604012</v>
      </c>
      <c r="F102" s="9">
        <v>34.178023804017634</v>
      </c>
      <c r="G102">
        <f t="shared" si="3"/>
        <v>1.9999999999999966E-2</v>
      </c>
    </row>
    <row r="103" spans="2:7" x14ac:dyDescent="0.2">
      <c r="B103" s="10">
        <v>53</v>
      </c>
      <c r="C103" s="9">
        <v>75.479980471423147</v>
      </c>
      <c r="D103" s="9">
        <v>60.383984377138518</v>
      </c>
      <c r="E103" s="9">
        <v>0</v>
      </c>
      <c r="F103" s="9">
        <v>0</v>
      </c>
      <c r="G103">
        <f t="shared" si="3"/>
        <v>-0.48444627552716873</v>
      </c>
    </row>
    <row r="104" spans="2:7" x14ac:dyDescent="0.2">
      <c r="B104" s="10">
        <v>54</v>
      </c>
      <c r="C104" s="9">
        <v>106.10336846569091</v>
      </c>
      <c r="D104" s="9">
        <v>100</v>
      </c>
      <c r="E104" s="9">
        <v>1.4431325287282553</v>
      </c>
      <c r="F104" s="9">
        <v>4.6602359369626507</v>
      </c>
      <c r="G104">
        <f t="shared" si="3"/>
        <v>1.9999999999999966E-2</v>
      </c>
    </row>
    <row r="105" spans="2:7" x14ac:dyDescent="0.2">
      <c r="B105" s="10">
        <v>55</v>
      </c>
      <c r="C105" s="9">
        <v>102.07596613590827</v>
      </c>
      <c r="D105" s="9">
        <v>100</v>
      </c>
      <c r="E105" s="9">
        <v>3.3541713304334309E-2</v>
      </c>
      <c r="F105" s="9">
        <v>2.0424244226039399</v>
      </c>
      <c r="G105">
        <f t="shared" si="3"/>
        <v>1.9999999999999966E-2</v>
      </c>
    </row>
    <row r="106" spans="2:7" x14ac:dyDescent="0.2">
      <c r="B106" s="10">
        <v>56</v>
      </c>
      <c r="C106" s="9">
        <v>129.02700513979093</v>
      </c>
      <c r="D106" s="9">
        <v>100</v>
      </c>
      <c r="E106" s="9">
        <v>9.4664053646632631</v>
      </c>
      <c r="F106" s="9">
        <v>19.560599775127667</v>
      </c>
      <c r="G106">
        <f t="shared" si="3"/>
        <v>1.9999999999999966E-2</v>
      </c>
    </row>
    <row r="107" spans="2:7" x14ac:dyDescent="0.2">
      <c r="B107" s="10">
        <v>57</v>
      </c>
      <c r="C107" s="9">
        <v>145.22052822426929</v>
      </c>
      <c r="D107" s="9">
        <v>100</v>
      </c>
      <c r="E107" s="9">
        <v>15.134138444230688</v>
      </c>
      <c r="F107" s="9">
        <v>30.086389780038601</v>
      </c>
      <c r="G107">
        <f t="shared" si="3"/>
        <v>1.9999999999999966E-2</v>
      </c>
    </row>
    <row r="108" spans="2:7" x14ac:dyDescent="0.2">
      <c r="B108" s="10">
        <v>58</v>
      </c>
      <c r="C108" s="9">
        <v>85.590575469742319</v>
      </c>
      <c r="D108" s="9">
        <v>68.472460375793858</v>
      </c>
      <c r="E108" s="9">
        <v>0</v>
      </c>
      <c r="F108" s="9">
        <v>0</v>
      </c>
      <c r="G108">
        <f t="shared" si="3"/>
        <v>-0.35873855986855946</v>
      </c>
    </row>
    <row r="109" spans="2:7" x14ac:dyDescent="0.2">
      <c r="B109" s="10">
        <v>59</v>
      </c>
      <c r="C109" s="9">
        <v>105.08351965396389</v>
      </c>
      <c r="D109" s="9">
        <v>100</v>
      </c>
      <c r="E109" s="9">
        <v>1.0861854446237997</v>
      </c>
      <c r="F109" s="9">
        <v>3.9973342093400905</v>
      </c>
      <c r="G109">
        <f t="shared" si="3"/>
        <v>1.9999999999999966E-2</v>
      </c>
    </row>
    <row r="110" spans="2:7" x14ac:dyDescent="0.2">
      <c r="B110" s="10">
        <v>60</v>
      </c>
      <c r="C110" s="9">
        <v>91.550450862120627</v>
      </c>
      <c r="D110" s="9">
        <v>73.240360689696502</v>
      </c>
      <c r="E110" s="9">
        <v>0</v>
      </c>
      <c r="F110" s="9">
        <v>0</v>
      </c>
      <c r="G110">
        <f t="shared" si="3"/>
        <v>-0.29142354143016558</v>
      </c>
    </row>
    <row r="111" spans="2:7" x14ac:dyDescent="0.2">
      <c r="B111" s="10">
        <v>61</v>
      </c>
      <c r="C111" s="9">
        <v>108.1515175290904</v>
      </c>
      <c r="D111" s="9">
        <v>100</v>
      </c>
      <c r="E111" s="9">
        <v>2.1599847009180775</v>
      </c>
      <c r="F111" s="9">
        <v>5.9915328281723212</v>
      </c>
      <c r="G111">
        <f t="shared" si="3"/>
        <v>1.9999999999999966E-2</v>
      </c>
    </row>
    <row r="112" spans="2:7" x14ac:dyDescent="0.2">
      <c r="B112" s="10">
        <v>62</v>
      </c>
      <c r="C112" s="9">
        <v>97.993243922963956</v>
      </c>
      <c r="D112" s="9">
        <v>78.394595138371159</v>
      </c>
      <c r="E112" s="9">
        <v>0</v>
      </c>
      <c r="F112" s="9">
        <v>0</v>
      </c>
      <c r="G112">
        <f t="shared" si="3"/>
        <v>-0.22341520056976238</v>
      </c>
    </row>
    <row r="113" spans="2:7" x14ac:dyDescent="0.2">
      <c r="B113" s="10">
        <v>63</v>
      </c>
      <c r="C113" s="9">
        <v>118.22588322965815</v>
      </c>
      <c r="D113" s="9">
        <v>100</v>
      </c>
      <c r="E113" s="9">
        <v>5.6860126961167907</v>
      </c>
      <c r="F113" s="9">
        <v>12.539870533541361</v>
      </c>
      <c r="G113">
        <f t="shared" si="3"/>
        <v>1.9999999999999966E-2</v>
      </c>
    </row>
    <row r="114" spans="2:7" x14ac:dyDescent="0.2">
      <c r="B114" s="10">
        <v>64</v>
      </c>
      <c r="C114" s="9">
        <v>115.649864394497</v>
      </c>
      <c r="D114" s="9">
        <v>100</v>
      </c>
      <c r="E114" s="9">
        <v>4.7844061038103884</v>
      </c>
      <c r="F114" s="9">
        <v>10.865458290686613</v>
      </c>
      <c r="G114">
        <f t="shared" si="3"/>
        <v>1.9999999999999966E-2</v>
      </c>
    </row>
    <row r="115" spans="2:7" x14ac:dyDescent="0.2">
      <c r="B115" s="10">
        <v>65</v>
      </c>
      <c r="C115" s="9">
        <v>112.95175196633605</v>
      </c>
      <c r="D115" s="9">
        <v>100</v>
      </c>
      <c r="E115" s="9">
        <v>3.8400667539540545</v>
      </c>
      <c r="F115" s="9">
        <v>9.1116852123819925</v>
      </c>
      <c r="G115">
        <f t="shared" ref="G115:G178" si="4">LN(D115/$C$7)</f>
        <v>1.9999999999999966E-2</v>
      </c>
    </row>
    <row r="116" spans="2:7" x14ac:dyDescent="0.2">
      <c r="B116" s="10">
        <v>66</v>
      </c>
      <c r="C116" s="9">
        <v>112.65217868908843</v>
      </c>
      <c r="D116" s="9">
        <v>100</v>
      </c>
      <c r="E116" s="9">
        <v>3.7352161069173886</v>
      </c>
      <c r="F116" s="9">
        <v>8.9169625821710419</v>
      </c>
      <c r="G116">
        <f t="shared" si="4"/>
        <v>1.9999999999999966E-2</v>
      </c>
    </row>
    <row r="117" spans="2:7" x14ac:dyDescent="0.2">
      <c r="B117" s="10">
        <v>67</v>
      </c>
      <c r="C117" s="9">
        <v>161.84467648059439</v>
      </c>
      <c r="D117" s="9">
        <v>100</v>
      </c>
      <c r="E117" s="9">
        <v>20.952590333944471</v>
      </c>
      <c r="F117" s="9">
        <v>40.892086146649916</v>
      </c>
      <c r="G117">
        <f t="shared" si="4"/>
        <v>1.9999999999999966E-2</v>
      </c>
    </row>
    <row r="118" spans="2:7" x14ac:dyDescent="0.2">
      <c r="B118" s="10">
        <v>68</v>
      </c>
      <c r="C118" s="9">
        <v>241.71644853846641</v>
      </c>
      <c r="D118" s="9">
        <v>100</v>
      </c>
      <c r="E118" s="9">
        <v>48.907710554199681</v>
      </c>
      <c r="F118" s="9">
        <v>92.808737984266727</v>
      </c>
      <c r="G118">
        <f t="shared" si="4"/>
        <v>1.9999999999999966E-2</v>
      </c>
    </row>
    <row r="119" spans="2:7" x14ac:dyDescent="0.2">
      <c r="B119" s="10">
        <v>69</v>
      </c>
      <c r="C119" s="9">
        <v>110.22766089079292</v>
      </c>
      <c r="D119" s="9">
        <v>100</v>
      </c>
      <c r="E119" s="9">
        <v>2.8866348775139596</v>
      </c>
      <c r="F119" s="9">
        <v>7.3410260132789595</v>
      </c>
      <c r="G119">
        <f t="shared" si="4"/>
        <v>1.9999999999999966E-2</v>
      </c>
    </row>
    <row r="120" spans="2:7" x14ac:dyDescent="0.2">
      <c r="B120" s="10">
        <v>70</v>
      </c>
      <c r="C120" s="9">
        <v>115.36018015356933</v>
      </c>
      <c r="D120" s="9">
        <v>100</v>
      </c>
      <c r="E120" s="9">
        <v>4.6830166194857039</v>
      </c>
      <c r="F120" s="9">
        <v>10.677163534083627</v>
      </c>
      <c r="G120">
        <f t="shared" si="4"/>
        <v>1.9999999999999966E-2</v>
      </c>
    </row>
    <row r="121" spans="2:7" x14ac:dyDescent="0.2">
      <c r="B121" s="10">
        <v>71</v>
      </c>
      <c r="C121" s="9">
        <v>126.78471858535787</v>
      </c>
      <c r="D121" s="9">
        <v>100</v>
      </c>
      <c r="E121" s="9">
        <v>8.6816050706116901</v>
      </c>
      <c r="F121" s="9">
        <v>18.103113514746177</v>
      </c>
      <c r="G121">
        <f t="shared" si="4"/>
        <v>1.9999999999999966E-2</v>
      </c>
    </row>
    <row r="122" spans="2:7" x14ac:dyDescent="0.2">
      <c r="B122" s="10">
        <v>72</v>
      </c>
      <c r="C122" s="9">
        <v>127.31490704484254</v>
      </c>
      <c r="D122" s="9">
        <v>100</v>
      </c>
      <c r="E122" s="9">
        <v>8.8671710314313277</v>
      </c>
      <c r="F122" s="9">
        <v>18.447736013411216</v>
      </c>
      <c r="G122">
        <f t="shared" si="4"/>
        <v>1.9999999999999966E-2</v>
      </c>
    </row>
    <row r="123" spans="2:7" x14ac:dyDescent="0.2">
      <c r="B123" s="10">
        <v>73</v>
      </c>
      <c r="C123" s="9">
        <v>135.40395353937896</v>
      </c>
      <c r="D123" s="9">
        <v>100</v>
      </c>
      <c r="E123" s="9">
        <v>11.698337304519073</v>
      </c>
      <c r="F123" s="9">
        <v>23.705616234859889</v>
      </c>
      <c r="G123">
        <f t="shared" si="4"/>
        <v>1.9999999999999966E-2</v>
      </c>
    </row>
    <row r="124" spans="2:7" x14ac:dyDescent="0.2">
      <c r="B124" s="10">
        <v>74</v>
      </c>
      <c r="C124" s="9">
        <v>118.70136120932362</v>
      </c>
      <c r="D124" s="9">
        <v>100</v>
      </c>
      <c r="E124" s="9">
        <v>5.852429988999706</v>
      </c>
      <c r="F124" s="9">
        <v>12.848931220323916</v>
      </c>
      <c r="G124">
        <f t="shared" si="4"/>
        <v>1.9999999999999966E-2</v>
      </c>
    </row>
    <row r="125" spans="2:7" x14ac:dyDescent="0.2">
      <c r="B125" s="10">
        <v>75</v>
      </c>
      <c r="C125" s="9">
        <v>103.68425445704661</v>
      </c>
      <c r="D125" s="9">
        <v>100</v>
      </c>
      <c r="E125" s="9">
        <v>0.59644262570275042</v>
      </c>
      <c r="F125" s="9">
        <v>3.0878118313438554</v>
      </c>
      <c r="G125">
        <f t="shared" si="4"/>
        <v>1.9999999999999966E-2</v>
      </c>
    </row>
    <row r="126" spans="2:7" x14ac:dyDescent="0.2">
      <c r="B126" s="10">
        <v>76</v>
      </c>
      <c r="C126" s="9">
        <v>132.80570555336533</v>
      </c>
      <c r="D126" s="9">
        <v>100</v>
      </c>
      <c r="E126" s="9">
        <v>10.788950509414303</v>
      </c>
      <c r="F126" s="9">
        <v>22.016755043951026</v>
      </c>
      <c r="G126">
        <f t="shared" si="4"/>
        <v>1.9999999999999966E-2</v>
      </c>
    </row>
    <row r="127" spans="2:7" x14ac:dyDescent="0.2">
      <c r="B127" s="10">
        <v>77</v>
      </c>
      <c r="C127" s="9">
        <v>95.839653359016879</v>
      </c>
      <c r="D127" s="9">
        <v>76.671722687213503</v>
      </c>
      <c r="E127" s="9">
        <v>0</v>
      </c>
      <c r="F127" s="9">
        <v>0</v>
      </c>
      <c r="G127">
        <f t="shared" si="4"/>
        <v>-0.24563721981339651</v>
      </c>
    </row>
    <row r="128" spans="2:7" x14ac:dyDescent="0.2">
      <c r="B128" s="10">
        <v>78</v>
      </c>
      <c r="C128" s="9">
        <v>84.150494715817089</v>
      </c>
      <c r="D128" s="9">
        <v>67.320395772653669</v>
      </c>
      <c r="E128" s="9">
        <v>0</v>
      </c>
      <c r="F128" s="9">
        <v>0</v>
      </c>
      <c r="G128">
        <f t="shared" si="4"/>
        <v>-0.37570693770692554</v>
      </c>
    </row>
    <row r="129" spans="2:7" x14ac:dyDescent="0.2">
      <c r="B129" s="10">
        <v>79</v>
      </c>
      <c r="C129" s="9">
        <v>158.25606692555331</v>
      </c>
      <c r="D129" s="9">
        <v>100</v>
      </c>
      <c r="E129" s="9">
        <v>19.696576989680096</v>
      </c>
      <c r="F129" s="9">
        <v>38.559489935873216</v>
      </c>
      <c r="G129">
        <f t="shared" si="4"/>
        <v>1.9999999999999966E-2</v>
      </c>
    </row>
    <row r="130" spans="2:7" x14ac:dyDescent="0.2">
      <c r="B130" s="10">
        <v>80</v>
      </c>
      <c r="C130" s="9">
        <v>115.23030926689577</v>
      </c>
      <c r="D130" s="9">
        <v>100</v>
      </c>
      <c r="E130" s="9">
        <v>4.6375618091499584</v>
      </c>
      <c r="F130" s="9">
        <v>10.592747457745816</v>
      </c>
      <c r="G130">
        <f t="shared" si="4"/>
        <v>1.9999999999999966E-2</v>
      </c>
    </row>
    <row r="131" spans="2:7" x14ac:dyDescent="0.2">
      <c r="B131" s="10">
        <v>81</v>
      </c>
      <c r="C131" s="9">
        <v>117.4820292709485</v>
      </c>
      <c r="D131" s="9">
        <v>100</v>
      </c>
      <c r="E131" s="9">
        <v>5.4256638105684134</v>
      </c>
      <c r="F131" s="9">
        <v>12.056365460380089</v>
      </c>
      <c r="G131">
        <f t="shared" si="4"/>
        <v>1.9999999999999966E-2</v>
      </c>
    </row>
    <row r="132" spans="2:7" x14ac:dyDescent="0.2">
      <c r="B132" s="10">
        <v>82</v>
      </c>
      <c r="C132" s="9">
        <v>92.680714966112703</v>
      </c>
      <c r="D132" s="9">
        <v>74.144571972890162</v>
      </c>
      <c r="E132" s="9">
        <v>0</v>
      </c>
      <c r="F132" s="9">
        <v>0</v>
      </c>
      <c r="G132">
        <f t="shared" si="4"/>
        <v>-0.27915332341621196</v>
      </c>
    </row>
    <row r="133" spans="2:7" x14ac:dyDescent="0.2">
      <c r="B133" s="10">
        <v>83</v>
      </c>
      <c r="C133" s="9">
        <v>133.81934012650555</v>
      </c>
      <c r="D133" s="9">
        <v>100</v>
      </c>
      <c r="E133" s="9">
        <v>11.143722610013381</v>
      </c>
      <c r="F133" s="9">
        <v>22.675617516492171</v>
      </c>
      <c r="G133">
        <f t="shared" si="4"/>
        <v>1.9999999999999966E-2</v>
      </c>
    </row>
    <row r="134" spans="2:7" x14ac:dyDescent="0.2">
      <c r="B134" s="10">
        <v>84</v>
      </c>
      <c r="C134" s="9">
        <v>96.864584155811386</v>
      </c>
      <c r="D134" s="9">
        <v>77.491667324649114</v>
      </c>
      <c r="E134" s="9">
        <v>0</v>
      </c>
      <c r="F134" s="9">
        <v>0</v>
      </c>
      <c r="G134">
        <f t="shared" si="4"/>
        <v>-0.23499977380093115</v>
      </c>
    </row>
    <row r="135" spans="2:7" x14ac:dyDescent="0.2">
      <c r="B135" s="10">
        <v>85</v>
      </c>
      <c r="C135" s="9">
        <v>115.84434512923276</v>
      </c>
      <c r="D135" s="9">
        <v>100</v>
      </c>
      <c r="E135" s="9">
        <v>4.8524743609679053</v>
      </c>
      <c r="F135" s="9">
        <v>10.991870768264858</v>
      </c>
      <c r="G135">
        <f t="shared" si="4"/>
        <v>1.9999999999999966E-2</v>
      </c>
    </row>
    <row r="136" spans="2:7" x14ac:dyDescent="0.2">
      <c r="B136" s="10">
        <v>86</v>
      </c>
      <c r="C136" s="9">
        <v>150.55269570980246</v>
      </c>
      <c r="D136" s="9">
        <v>100</v>
      </c>
      <c r="E136" s="9">
        <v>17.000397064167299</v>
      </c>
      <c r="F136" s="9">
        <v>33.552298645635162</v>
      </c>
      <c r="G136">
        <f t="shared" si="4"/>
        <v>1.9999999999999966E-2</v>
      </c>
    </row>
    <row r="137" spans="2:7" x14ac:dyDescent="0.2">
      <c r="B137" s="10">
        <v>87</v>
      </c>
      <c r="C137" s="9">
        <v>122.66173212604934</v>
      </c>
      <c r="D137" s="9">
        <v>100</v>
      </c>
      <c r="E137" s="9">
        <v>7.2385598098537081</v>
      </c>
      <c r="F137" s="9">
        <v>15.423172316195636</v>
      </c>
      <c r="G137">
        <f t="shared" si="4"/>
        <v>1.9999999999999966E-2</v>
      </c>
    </row>
    <row r="138" spans="2:7" x14ac:dyDescent="0.2">
      <c r="B138" s="10">
        <v>88</v>
      </c>
      <c r="C138" s="9">
        <v>75.139959756982449</v>
      </c>
      <c r="D138" s="9">
        <v>60.111967805585962</v>
      </c>
      <c r="E138" s="9">
        <v>0</v>
      </c>
      <c r="F138" s="9">
        <v>0</v>
      </c>
      <c r="G138">
        <f t="shared" si="4"/>
        <v>-0.48896123273045117</v>
      </c>
    </row>
    <row r="139" spans="2:7" x14ac:dyDescent="0.2">
      <c r="B139" s="10">
        <v>89</v>
      </c>
      <c r="C139" s="9">
        <v>94.64963601999537</v>
      </c>
      <c r="D139" s="9">
        <v>75.719708815996299</v>
      </c>
      <c r="E139" s="9">
        <v>0</v>
      </c>
      <c r="F139" s="9">
        <v>0</v>
      </c>
      <c r="G139">
        <f t="shared" si="4"/>
        <v>-0.2581317051905983</v>
      </c>
    </row>
    <row r="140" spans="2:7" x14ac:dyDescent="0.2">
      <c r="B140" s="10">
        <v>90</v>
      </c>
      <c r="C140" s="9">
        <v>83.084419975689855</v>
      </c>
      <c r="D140" s="9">
        <v>66.467535980551887</v>
      </c>
      <c r="E140" s="9">
        <v>0</v>
      </c>
      <c r="F140" s="9">
        <v>0</v>
      </c>
      <c r="G140">
        <f t="shared" si="4"/>
        <v>-0.38845653826887816</v>
      </c>
    </row>
    <row r="141" spans="2:7" x14ac:dyDescent="0.2">
      <c r="B141" s="10">
        <v>91</v>
      </c>
      <c r="C141" s="9">
        <v>115.22309678156506</v>
      </c>
      <c r="D141" s="9">
        <v>100</v>
      </c>
      <c r="E141" s="9">
        <v>4.6350374392842095</v>
      </c>
      <c r="F141" s="9">
        <v>10.588059342280852</v>
      </c>
      <c r="G141">
        <f t="shared" si="4"/>
        <v>1.9999999999999966E-2</v>
      </c>
    </row>
    <row r="142" spans="2:7" x14ac:dyDescent="0.2">
      <c r="B142" s="10">
        <v>92</v>
      </c>
      <c r="C142" s="9">
        <v>74.700089071276139</v>
      </c>
      <c r="D142" s="9">
        <v>59.760071257020911</v>
      </c>
      <c r="E142" s="9">
        <v>0</v>
      </c>
      <c r="F142" s="9">
        <v>0</v>
      </c>
      <c r="G142">
        <f t="shared" si="4"/>
        <v>-0.49483245277767895</v>
      </c>
    </row>
    <row r="143" spans="2:7" x14ac:dyDescent="0.2">
      <c r="B143" s="10">
        <v>93</v>
      </c>
      <c r="C143" s="9">
        <v>79.226900773224543</v>
      </c>
      <c r="D143" s="9">
        <v>63.381520618579636</v>
      </c>
      <c r="E143" s="9">
        <v>0</v>
      </c>
      <c r="F143" s="9">
        <v>0</v>
      </c>
      <c r="G143">
        <f t="shared" si="4"/>
        <v>-0.43599783992445656</v>
      </c>
    </row>
    <row r="144" spans="2:7" x14ac:dyDescent="0.2">
      <c r="B144" s="10">
        <v>94</v>
      </c>
      <c r="C144" s="9">
        <v>110.29862255504609</v>
      </c>
      <c r="D144" s="9">
        <v>100</v>
      </c>
      <c r="E144" s="9">
        <v>2.9114714600025713</v>
      </c>
      <c r="F144" s="9">
        <v>7.3871510950435226</v>
      </c>
      <c r="G144">
        <f t="shared" si="4"/>
        <v>1.9999999999999966E-2</v>
      </c>
    </row>
    <row r="145" spans="2:7" x14ac:dyDescent="0.2">
      <c r="B145" s="10">
        <v>95</v>
      </c>
      <c r="C145" s="9">
        <v>95.373364068860838</v>
      </c>
      <c r="D145" s="9">
        <v>76.29869125508867</v>
      </c>
      <c r="E145" s="9">
        <v>0</v>
      </c>
      <c r="F145" s="9">
        <v>0</v>
      </c>
      <c r="G145">
        <f t="shared" si="4"/>
        <v>-0.2505144004648579</v>
      </c>
    </row>
    <row r="146" spans="2:7" x14ac:dyDescent="0.2">
      <c r="B146" s="10">
        <v>96</v>
      </c>
      <c r="C146" s="9">
        <v>80.409024259210653</v>
      </c>
      <c r="D146" s="9">
        <v>64.327219407368517</v>
      </c>
      <c r="E146" s="9">
        <v>0</v>
      </c>
      <c r="F146" s="9">
        <v>0</v>
      </c>
      <c r="G146">
        <f t="shared" si="4"/>
        <v>-0.42118732538606274</v>
      </c>
    </row>
    <row r="147" spans="2:7" x14ac:dyDescent="0.2">
      <c r="B147" s="10">
        <v>97</v>
      </c>
      <c r="C147" s="9">
        <v>93.862287591807046</v>
      </c>
      <c r="D147" s="9">
        <v>75.08983007344564</v>
      </c>
      <c r="E147" s="9">
        <v>0</v>
      </c>
      <c r="F147" s="9">
        <v>0</v>
      </c>
      <c r="G147">
        <f t="shared" si="4"/>
        <v>-0.26648505485068469</v>
      </c>
    </row>
    <row r="148" spans="2:7" x14ac:dyDescent="0.2">
      <c r="B148" s="10">
        <v>98</v>
      </c>
      <c r="C148" s="9">
        <v>89.37751288209293</v>
      </c>
      <c r="D148" s="9">
        <v>71.502010305674347</v>
      </c>
      <c r="E148" s="9">
        <v>0</v>
      </c>
      <c r="F148" s="9">
        <v>0</v>
      </c>
      <c r="G148">
        <f t="shared" si="4"/>
        <v>-0.31544462052010375</v>
      </c>
    </row>
    <row r="149" spans="2:7" x14ac:dyDescent="0.2">
      <c r="B149" s="10">
        <v>99</v>
      </c>
      <c r="C149" s="9">
        <v>71.193832301906482</v>
      </c>
      <c r="D149" s="9">
        <v>56.955065841525183</v>
      </c>
      <c r="E149" s="9">
        <v>0</v>
      </c>
      <c r="F149" s="9">
        <v>0</v>
      </c>
      <c r="G149">
        <f t="shared" si="4"/>
        <v>-0.54290754760975446</v>
      </c>
    </row>
    <row r="150" spans="2:7" x14ac:dyDescent="0.2">
      <c r="B150" s="10">
        <v>100</v>
      </c>
      <c r="C150" s="9">
        <v>165.24863125242476</v>
      </c>
      <c r="D150" s="9">
        <v>100</v>
      </c>
      <c r="E150" s="9">
        <v>22.143974504085101</v>
      </c>
      <c r="F150" s="9">
        <v>43.104656748339657</v>
      </c>
      <c r="G150">
        <f t="shared" si="4"/>
        <v>1.9999999999999966E-2</v>
      </c>
    </row>
    <row r="151" spans="2:7" x14ac:dyDescent="0.2">
      <c r="B151" s="10">
        <v>101</v>
      </c>
      <c r="C151" s="9">
        <v>126.04892235676219</v>
      </c>
      <c r="D151" s="9">
        <v>100</v>
      </c>
      <c r="E151" s="9">
        <v>8.4240763906032043</v>
      </c>
      <c r="F151" s="9">
        <v>17.624845966158986</v>
      </c>
      <c r="G151">
        <f t="shared" si="4"/>
        <v>1.9999999999999966E-2</v>
      </c>
    </row>
    <row r="152" spans="2:7" x14ac:dyDescent="0.2">
      <c r="B152" s="10">
        <v>102</v>
      </c>
      <c r="C152" s="9">
        <v>74.303967303124324</v>
      </c>
      <c r="D152" s="9">
        <v>59.443173842499462</v>
      </c>
      <c r="E152" s="9">
        <v>0</v>
      </c>
      <c r="F152" s="9">
        <v>0</v>
      </c>
      <c r="G152">
        <f t="shared" si="4"/>
        <v>-0.50014939126890312</v>
      </c>
    </row>
    <row r="153" spans="2:7" x14ac:dyDescent="0.2">
      <c r="B153" s="10">
        <v>103</v>
      </c>
      <c r="C153" s="9">
        <v>106.87741930075654</v>
      </c>
      <c r="D153" s="9">
        <v>100</v>
      </c>
      <c r="E153" s="9">
        <v>1.7140503210012283</v>
      </c>
      <c r="F153" s="9">
        <v>5.1633689797553144</v>
      </c>
      <c r="G153">
        <f t="shared" si="4"/>
        <v>1.9999999999999966E-2</v>
      </c>
    </row>
    <row r="154" spans="2:7" x14ac:dyDescent="0.2">
      <c r="B154" s="10">
        <v>104</v>
      </c>
      <c r="C154" s="9">
        <v>99.871654558350372</v>
      </c>
      <c r="D154" s="9">
        <v>79.897323646680292</v>
      </c>
      <c r="E154" s="9">
        <v>0</v>
      </c>
      <c r="F154" s="9">
        <v>0</v>
      </c>
      <c r="G154">
        <f t="shared" si="4"/>
        <v>-0.20442783006373055</v>
      </c>
    </row>
    <row r="155" spans="2:7" x14ac:dyDescent="0.2">
      <c r="B155" s="10">
        <v>105</v>
      </c>
      <c r="C155" s="9">
        <v>105.49089640717033</v>
      </c>
      <c r="D155" s="9">
        <v>100</v>
      </c>
      <c r="E155" s="9">
        <v>1.2287673082460522</v>
      </c>
      <c r="F155" s="9">
        <v>4.2621290989242731</v>
      </c>
      <c r="G155">
        <f t="shared" si="4"/>
        <v>1.9999999999999966E-2</v>
      </c>
    </row>
    <row r="156" spans="2:7" x14ac:dyDescent="0.2">
      <c r="B156" s="10">
        <v>106</v>
      </c>
      <c r="C156" s="9">
        <v>126.23223060697275</v>
      </c>
      <c r="D156" s="9">
        <v>100</v>
      </c>
      <c r="E156" s="9">
        <v>8.4882342781769005</v>
      </c>
      <c r="F156" s="9">
        <v>17.743996328795848</v>
      </c>
      <c r="G156">
        <f t="shared" si="4"/>
        <v>1.9999999999999966E-2</v>
      </c>
    </row>
    <row r="157" spans="2:7" x14ac:dyDescent="0.2">
      <c r="B157" s="10">
        <v>107</v>
      </c>
      <c r="C157" s="9">
        <v>69.458359019031775</v>
      </c>
      <c r="D157" s="9">
        <v>55.566687215225421</v>
      </c>
      <c r="E157" s="9">
        <v>0</v>
      </c>
      <c r="F157" s="9">
        <v>0</v>
      </c>
      <c r="G157">
        <f t="shared" si="4"/>
        <v>-0.56758631509942359</v>
      </c>
    </row>
    <row r="158" spans="2:7" x14ac:dyDescent="0.2">
      <c r="B158" s="10">
        <v>108</v>
      </c>
      <c r="C158" s="9">
        <v>207.24516021495324</v>
      </c>
      <c r="D158" s="9">
        <v>100</v>
      </c>
      <c r="E158" s="9">
        <v>36.842759640970073</v>
      </c>
      <c r="F158" s="9">
        <v>70.402400573983172</v>
      </c>
      <c r="G158">
        <f t="shared" si="4"/>
        <v>1.9999999999999966E-2</v>
      </c>
    </row>
    <row r="159" spans="2:7" x14ac:dyDescent="0.2">
      <c r="B159" s="10">
        <v>109</v>
      </c>
      <c r="C159" s="9">
        <v>100.29217166506423</v>
      </c>
      <c r="D159" s="9">
        <v>100</v>
      </c>
      <c r="E159" s="9">
        <v>-0.59078635149108072</v>
      </c>
      <c r="F159" s="9">
        <v>0.8829580165553117</v>
      </c>
      <c r="G159">
        <f t="shared" si="4"/>
        <v>1.9999999999999966E-2</v>
      </c>
    </row>
    <row r="160" spans="2:7" x14ac:dyDescent="0.2">
      <c r="B160" s="10">
        <v>110</v>
      </c>
      <c r="C160" s="9">
        <v>108.69961447683896</v>
      </c>
      <c r="D160" s="9">
        <v>100</v>
      </c>
      <c r="E160" s="9">
        <v>2.3518186326300743</v>
      </c>
      <c r="F160" s="9">
        <v>6.3477958442088855</v>
      </c>
      <c r="G160">
        <f t="shared" si="4"/>
        <v>1.9999999999999966E-2</v>
      </c>
    </row>
    <row r="161" spans="2:7" x14ac:dyDescent="0.2">
      <c r="B161" s="10">
        <v>111</v>
      </c>
      <c r="C161" s="9">
        <v>165.23313784389305</v>
      </c>
      <c r="D161" s="9">
        <v>100</v>
      </c>
      <c r="E161" s="9">
        <v>22.138551811099003</v>
      </c>
      <c r="F161" s="9">
        <v>43.094586032794041</v>
      </c>
      <c r="G161">
        <f t="shared" si="4"/>
        <v>1.9999999999999966E-2</v>
      </c>
    </row>
    <row r="162" spans="2:7" x14ac:dyDescent="0.2">
      <c r="B162" s="10">
        <v>112</v>
      </c>
      <c r="C162" s="9">
        <v>86.536266269517014</v>
      </c>
      <c r="D162" s="9">
        <v>69.229013015613617</v>
      </c>
      <c r="E162" s="9">
        <v>0</v>
      </c>
      <c r="F162" s="9">
        <v>0</v>
      </c>
      <c r="G162">
        <f t="shared" si="4"/>
        <v>-0.34775014799932696</v>
      </c>
    </row>
    <row r="163" spans="2:7" x14ac:dyDescent="0.2">
      <c r="B163" s="10">
        <v>113</v>
      </c>
      <c r="C163" s="9">
        <v>99.881668664576452</v>
      </c>
      <c r="D163" s="9">
        <v>79.905334931661159</v>
      </c>
      <c r="E163" s="9">
        <v>0</v>
      </c>
      <c r="F163" s="9">
        <v>0</v>
      </c>
      <c r="G163">
        <f t="shared" si="4"/>
        <v>-0.20432756533648699</v>
      </c>
    </row>
    <row r="164" spans="2:7" x14ac:dyDescent="0.2">
      <c r="B164" s="10">
        <v>114</v>
      </c>
      <c r="C164" s="9">
        <v>137.82647841783827</v>
      </c>
      <c r="D164" s="9">
        <v>100</v>
      </c>
      <c r="E164" s="9">
        <v>12.546221011979833</v>
      </c>
      <c r="F164" s="9">
        <v>25.280257405858443</v>
      </c>
      <c r="G164">
        <f t="shared" si="4"/>
        <v>1.9999999999999966E-2</v>
      </c>
    </row>
    <row r="165" spans="2:7" x14ac:dyDescent="0.2">
      <c r="B165" s="10">
        <v>115</v>
      </c>
      <c r="C165" s="9">
        <v>117.55115378308052</v>
      </c>
      <c r="D165" s="9">
        <v>100</v>
      </c>
      <c r="E165" s="9">
        <v>5.4498573898146212</v>
      </c>
      <c r="F165" s="9">
        <v>12.101296393265901</v>
      </c>
      <c r="G165">
        <f t="shared" si="4"/>
        <v>1.9999999999999966E-2</v>
      </c>
    </row>
    <row r="166" spans="2:7" x14ac:dyDescent="0.2">
      <c r="B166" s="10">
        <v>116</v>
      </c>
      <c r="C166" s="9">
        <v>87.767754317081227</v>
      </c>
      <c r="D166" s="9">
        <v>70.214203453664979</v>
      </c>
      <c r="E166" s="9">
        <v>0</v>
      </c>
      <c r="F166" s="9">
        <v>0</v>
      </c>
      <c r="G166">
        <f t="shared" si="4"/>
        <v>-0.3336195670221701</v>
      </c>
    </row>
    <row r="167" spans="2:7" x14ac:dyDescent="0.2">
      <c r="B167" s="10">
        <v>117</v>
      </c>
      <c r="C167" s="9">
        <v>138.01198475288243</v>
      </c>
      <c r="D167" s="9">
        <v>100</v>
      </c>
      <c r="E167" s="9">
        <v>12.611148229245288</v>
      </c>
      <c r="F167" s="9">
        <v>25.400836523637139</v>
      </c>
      <c r="G167">
        <f t="shared" si="4"/>
        <v>1.9999999999999966E-2</v>
      </c>
    </row>
    <row r="168" spans="2:7" x14ac:dyDescent="0.2">
      <c r="B168" s="10">
        <v>118</v>
      </c>
      <c r="C168" s="9">
        <v>125.41896569469667</v>
      </c>
      <c r="D168" s="9">
        <v>100</v>
      </c>
      <c r="E168" s="9">
        <v>8.2035915588802713</v>
      </c>
      <c r="F168" s="9">
        <v>17.215374135816397</v>
      </c>
      <c r="G168">
        <f t="shared" si="4"/>
        <v>1.9999999999999966E-2</v>
      </c>
    </row>
    <row r="169" spans="2:7" x14ac:dyDescent="0.2">
      <c r="B169" s="10">
        <v>119</v>
      </c>
      <c r="C169" s="9">
        <v>126.77011209080548</v>
      </c>
      <c r="D169" s="9">
        <v>100</v>
      </c>
      <c r="E169" s="9">
        <v>8.6764927975183568</v>
      </c>
      <c r="F169" s="9">
        <v>18.093619293287126</v>
      </c>
      <c r="G169">
        <f t="shared" si="4"/>
        <v>1.9999999999999966E-2</v>
      </c>
    </row>
    <row r="170" spans="2:7" x14ac:dyDescent="0.2">
      <c r="B170" s="10">
        <v>120</v>
      </c>
      <c r="C170" s="9">
        <v>95.873677343529252</v>
      </c>
      <c r="D170" s="9">
        <v>76.698941874823404</v>
      </c>
      <c r="E170" s="9">
        <v>0</v>
      </c>
      <c r="F170" s="9">
        <v>0</v>
      </c>
      <c r="G170">
        <f t="shared" si="4"/>
        <v>-0.24528227334467784</v>
      </c>
    </row>
    <row r="171" spans="2:7" x14ac:dyDescent="0.2">
      <c r="B171" s="10">
        <v>121</v>
      </c>
      <c r="C171" s="9">
        <v>112.87848864109331</v>
      </c>
      <c r="D171" s="9">
        <v>100</v>
      </c>
      <c r="E171" s="9">
        <v>3.8144245901190974</v>
      </c>
      <c r="F171" s="9">
        <v>9.0640640509742152</v>
      </c>
      <c r="G171">
        <f t="shared" si="4"/>
        <v>1.9999999999999966E-2</v>
      </c>
    </row>
    <row r="172" spans="2:7" x14ac:dyDescent="0.2">
      <c r="B172" s="10">
        <v>122</v>
      </c>
      <c r="C172" s="9">
        <v>95.762608909649089</v>
      </c>
      <c r="D172" s="9">
        <v>76.610087127719268</v>
      </c>
      <c r="E172" s="9">
        <v>0</v>
      </c>
      <c r="F172" s="9">
        <v>0</v>
      </c>
      <c r="G172">
        <f t="shared" si="4"/>
        <v>-0.24644143217089143</v>
      </c>
    </row>
    <row r="173" spans="2:7" x14ac:dyDescent="0.2">
      <c r="B173" s="10">
        <v>123</v>
      </c>
      <c r="C173" s="9">
        <v>118.68889757183088</v>
      </c>
      <c r="D173" s="9">
        <v>100</v>
      </c>
      <c r="E173" s="9">
        <v>5.8480677158772458</v>
      </c>
      <c r="F173" s="9">
        <v>12.840829855953633</v>
      </c>
      <c r="G173">
        <f t="shared" si="4"/>
        <v>1.9999999999999966E-2</v>
      </c>
    </row>
    <row r="174" spans="2:7" x14ac:dyDescent="0.2">
      <c r="B174" s="10">
        <v>124</v>
      </c>
      <c r="C174" s="9">
        <v>147.08708155654207</v>
      </c>
      <c r="D174" s="9">
        <v>100</v>
      </c>
      <c r="E174" s="9">
        <v>15.787432110526163</v>
      </c>
      <c r="F174" s="9">
        <v>31.299649446015913</v>
      </c>
      <c r="G174">
        <f t="shared" si="4"/>
        <v>1.9999999999999966E-2</v>
      </c>
    </row>
    <row r="175" spans="2:7" x14ac:dyDescent="0.2">
      <c r="B175" s="10">
        <v>125</v>
      </c>
      <c r="C175" s="9">
        <v>106.45837114765459</v>
      </c>
      <c r="D175" s="9">
        <v>100</v>
      </c>
      <c r="E175" s="9">
        <v>1.5673834674155442</v>
      </c>
      <c r="F175" s="9">
        <v>4.8909876802390446</v>
      </c>
      <c r="G175">
        <f t="shared" si="4"/>
        <v>1.9999999999999966E-2</v>
      </c>
    </row>
    <row r="176" spans="2:7" x14ac:dyDescent="0.2">
      <c r="B176" s="10">
        <v>126</v>
      </c>
      <c r="C176" s="9">
        <v>149.40947737537692</v>
      </c>
      <c r="D176" s="9">
        <v>100</v>
      </c>
      <c r="E176" s="9">
        <v>16.600270647118361</v>
      </c>
      <c r="F176" s="9">
        <v>32.809206728258559</v>
      </c>
      <c r="G176">
        <f t="shared" si="4"/>
        <v>1.9999999999999966E-2</v>
      </c>
    </row>
    <row r="177" spans="2:7" x14ac:dyDescent="0.2">
      <c r="B177" s="10">
        <v>127</v>
      </c>
      <c r="C177" s="9">
        <v>91.794560784835227</v>
      </c>
      <c r="D177" s="9">
        <v>73.435648627868176</v>
      </c>
      <c r="E177" s="9">
        <v>0</v>
      </c>
      <c r="F177" s="9">
        <v>0</v>
      </c>
      <c r="G177">
        <f t="shared" si="4"/>
        <v>-0.28876069214110506</v>
      </c>
    </row>
    <row r="178" spans="2:7" x14ac:dyDescent="0.2">
      <c r="B178" s="10">
        <v>128</v>
      </c>
      <c r="C178" s="9">
        <v>119.80501465342259</v>
      </c>
      <c r="D178" s="9">
        <v>100</v>
      </c>
      <c r="E178" s="9">
        <v>6.2387086944343437</v>
      </c>
      <c r="F178" s="9">
        <v>13.566305958988245</v>
      </c>
      <c r="G178">
        <f t="shared" si="4"/>
        <v>1.9999999999999966E-2</v>
      </c>
    </row>
    <row r="179" spans="2:7" x14ac:dyDescent="0.2">
      <c r="B179" s="10">
        <v>129</v>
      </c>
      <c r="C179" s="9">
        <v>167.08128495148799</v>
      </c>
      <c r="D179" s="9">
        <v>100</v>
      </c>
      <c r="E179" s="9">
        <v>22.785403298757231</v>
      </c>
      <c r="F179" s="9">
        <v>44.295881652730756</v>
      </c>
      <c r="G179">
        <f t="shared" ref="G179:G242" si="5">LN(D179/$C$7)</f>
        <v>1.9999999999999966E-2</v>
      </c>
    </row>
    <row r="180" spans="2:7" x14ac:dyDescent="0.2">
      <c r="B180" s="10">
        <v>130</v>
      </c>
      <c r="C180" s="9">
        <v>168.77374464395197</v>
      </c>
      <c r="D180" s="9">
        <v>100</v>
      </c>
      <c r="E180" s="9">
        <v>23.377764191119628</v>
      </c>
      <c r="F180" s="9">
        <v>45.395980452832347</v>
      </c>
      <c r="G180">
        <f t="shared" si="5"/>
        <v>1.9999999999999966E-2</v>
      </c>
    </row>
    <row r="181" spans="2:7" x14ac:dyDescent="0.2">
      <c r="B181" s="10">
        <v>131</v>
      </c>
      <c r="C181" s="9">
        <v>131.7394493895159</v>
      </c>
      <c r="D181" s="9">
        <v>100</v>
      </c>
      <c r="E181" s="9">
        <v>10.415760852067002</v>
      </c>
      <c r="F181" s="9">
        <v>21.323688537448895</v>
      </c>
      <c r="G181">
        <f t="shared" si="5"/>
        <v>1.9999999999999966E-2</v>
      </c>
    </row>
    <row r="182" spans="2:7" x14ac:dyDescent="0.2">
      <c r="B182" s="10">
        <v>132</v>
      </c>
      <c r="C182" s="9">
        <v>87.178350763561141</v>
      </c>
      <c r="D182" s="9">
        <v>69.742680610848907</v>
      </c>
      <c r="E182" s="9">
        <v>0</v>
      </c>
      <c r="F182" s="9">
        <v>0</v>
      </c>
      <c r="G182">
        <f t="shared" si="5"/>
        <v>-0.34035770827180756</v>
      </c>
    </row>
    <row r="183" spans="2:7" x14ac:dyDescent="0.2">
      <c r="B183" s="10">
        <v>133</v>
      </c>
      <c r="C183" s="9">
        <v>86.533965285944817</v>
      </c>
      <c r="D183" s="9">
        <v>69.227172228755848</v>
      </c>
      <c r="E183" s="9">
        <v>0</v>
      </c>
      <c r="F183" s="9">
        <v>0</v>
      </c>
      <c r="G183">
        <f t="shared" si="5"/>
        <v>-0.34777673817086213</v>
      </c>
    </row>
    <row r="184" spans="2:7" x14ac:dyDescent="0.2">
      <c r="B184" s="10">
        <v>134</v>
      </c>
      <c r="C184" s="9">
        <v>112.07055135836434</v>
      </c>
      <c r="D184" s="9">
        <v>100</v>
      </c>
      <c r="E184" s="9">
        <v>3.5316465411639575</v>
      </c>
      <c r="F184" s="9">
        <v>8.5389048172003825</v>
      </c>
      <c r="G184">
        <f t="shared" si="5"/>
        <v>1.9999999999999966E-2</v>
      </c>
    </row>
    <row r="185" spans="2:7" x14ac:dyDescent="0.2">
      <c r="B185" s="10">
        <v>135</v>
      </c>
      <c r="C185" s="9">
        <v>153.00822849930867</v>
      </c>
      <c r="D185" s="9">
        <v>100</v>
      </c>
      <c r="E185" s="9">
        <v>17.859833540494471</v>
      </c>
      <c r="F185" s="9">
        <v>35.148394958814201</v>
      </c>
      <c r="G185">
        <f t="shared" si="5"/>
        <v>1.9999999999999966E-2</v>
      </c>
    </row>
    <row r="186" spans="2:7" x14ac:dyDescent="0.2">
      <c r="B186" s="10">
        <v>136</v>
      </c>
      <c r="C186" s="9">
        <v>94.280842359095701</v>
      </c>
      <c r="D186" s="9">
        <v>75.424673887276555</v>
      </c>
      <c r="E186" s="9">
        <v>0</v>
      </c>
      <c r="F186" s="9">
        <v>0</v>
      </c>
      <c r="G186">
        <f t="shared" si="5"/>
        <v>-0.26203572462116947</v>
      </c>
    </row>
    <row r="187" spans="2:7" x14ac:dyDescent="0.2">
      <c r="B187" s="10">
        <v>137</v>
      </c>
      <c r="C187" s="9">
        <v>66.528356528596873</v>
      </c>
      <c r="D187" s="9">
        <v>53.222685222877502</v>
      </c>
      <c r="E187" s="9">
        <v>0</v>
      </c>
      <c r="F187" s="9">
        <v>0</v>
      </c>
      <c r="G187">
        <f t="shared" si="5"/>
        <v>-0.61068546656522771</v>
      </c>
    </row>
    <row r="188" spans="2:7" x14ac:dyDescent="0.2">
      <c r="B188" s="10">
        <v>138</v>
      </c>
      <c r="C188" s="9">
        <v>135.35202051998752</v>
      </c>
      <c r="D188" s="9">
        <v>100</v>
      </c>
      <c r="E188" s="9">
        <v>11.680160747732069</v>
      </c>
      <c r="F188" s="9">
        <v>23.671859772255452</v>
      </c>
      <c r="G188">
        <f t="shared" si="5"/>
        <v>1.9999999999999966E-2</v>
      </c>
    </row>
    <row r="189" spans="2:7" x14ac:dyDescent="0.2">
      <c r="B189" s="10">
        <v>139</v>
      </c>
      <c r="C189" s="9">
        <v>86.338819597748738</v>
      </c>
      <c r="D189" s="9">
        <v>69.071055678198988</v>
      </c>
      <c r="E189" s="9">
        <v>0</v>
      </c>
      <c r="F189" s="9">
        <v>0</v>
      </c>
      <c r="G189">
        <f t="shared" si="5"/>
        <v>-0.35003441882565661</v>
      </c>
    </row>
    <row r="190" spans="2:7" x14ac:dyDescent="0.2">
      <c r="B190" s="10">
        <v>140</v>
      </c>
      <c r="C190" s="9">
        <v>225.48245579894069</v>
      </c>
      <c r="D190" s="9">
        <v>100</v>
      </c>
      <c r="E190" s="9">
        <v>43.22581309536568</v>
      </c>
      <c r="F190" s="9">
        <v>82.256642703575011</v>
      </c>
      <c r="G190">
        <f t="shared" si="5"/>
        <v>1.9999999999999966E-2</v>
      </c>
    </row>
    <row r="191" spans="2:7" x14ac:dyDescent="0.2">
      <c r="B191" s="10">
        <v>141</v>
      </c>
      <c r="C191" s="9">
        <v>92.429842293901132</v>
      </c>
      <c r="D191" s="9">
        <v>73.943873835120911</v>
      </c>
      <c r="E191" s="9">
        <v>0</v>
      </c>
      <c r="F191" s="9">
        <v>0</v>
      </c>
      <c r="G191">
        <f t="shared" si="5"/>
        <v>-0.28186384224906408</v>
      </c>
    </row>
    <row r="192" spans="2:7" x14ac:dyDescent="0.2">
      <c r="B192" s="10">
        <v>142</v>
      </c>
      <c r="C192" s="9">
        <v>102.33397443167776</v>
      </c>
      <c r="D192" s="9">
        <v>100</v>
      </c>
      <c r="E192" s="9">
        <v>0.12384461682365426</v>
      </c>
      <c r="F192" s="9">
        <v>2.2101298148541053</v>
      </c>
      <c r="G192">
        <f t="shared" si="5"/>
        <v>1.9999999999999966E-2</v>
      </c>
    </row>
    <row r="193" spans="2:7" x14ac:dyDescent="0.2">
      <c r="B193" s="10">
        <v>143</v>
      </c>
      <c r="C193" s="9">
        <v>75.145855023476244</v>
      </c>
      <c r="D193" s="9">
        <v>60.116684018780994</v>
      </c>
      <c r="E193" s="9">
        <v>0</v>
      </c>
      <c r="F193" s="9">
        <v>0</v>
      </c>
      <c r="G193">
        <f t="shared" si="5"/>
        <v>-0.48888277866603508</v>
      </c>
    </row>
    <row r="194" spans="2:7" x14ac:dyDescent="0.2">
      <c r="B194" s="10">
        <v>144</v>
      </c>
      <c r="C194" s="9">
        <v>193.77495866427367</v>
      </c>
      <c r="D194" s="9">
        <v>100</v>
      </c>
      <c r="E194" s="9">
        <v>32.12818909823222</v>
      </c>
      <c r="F194" s="9">
        <v>61.646769566041449</v>
      </c>
      <c r="G194">
        <f t="shared" si="5"/>
        <v>1.9999999999999966E-2</v>
      </c>
    </row>
    <row r="195" spans="2:7" x14ac:dyDescent="0.2">
      <c r="B195" s="10">
        <v>145</v>
      </c>
      <c r="C195" s="9">
        <v>75.303636971518173</v>
      </c>
      <c r="D195" s="9">
        <v>60.24290957721454</v>
      </c>
      <c r="E195" s="9">
        <v>0</v>
      </c>
      <c r="F195" s="9">
        <v>0</v>
      </c>
      <c r="G195">
        <f t="shared" si="5"/>
        <v>-0.48678530390829139</v>
      </c>
    </row>
    <row r="196" spans="2:7" x14ac:dyDescent="0.2">
      <c r="B196" s="10">
        <v>146</v>
      </c>
      <c r="C196" s="9">
        <v>68.634977443942503</v>
      </c>
      <c r="D196" s="9">
        <v>54.907981955154</v>
      </c>
      <c r="E196" s="9">
        <v>0</v>
      </c>
      <c r="F196" s="9">
        <v>0</v>
      </c>
      <c r="G196">
        <f t="shared" si="5"/>
        <v>-0.57951145723656283</v>
      </c>
    </row>
    <row r="197" spans="2:7" x14ac:dyDescent="0.2">
      <c r="B197" s="10">
        <v>147</v>
      </c>
      <c r="C197" s="9">
        <v>105.01661765308785</v>
      </c>
      <c r="D197" s="9">
        <v>100</v>
      </c>
      <c r="E197" s="9">
        <v>1.0627697443171853</v>
      </c>
      <c r="F197" s="9">
        <v>3.9538479087706637</v>
      </c>
      <c r="G197">
        <f t="shared" si="5"/>
        <v>1.9999999999999966E-2</v>
      </c>
    </row>
    <row r="198" spans="2:7" x14ac:dyDescent="0.2">
      <c r="B198" s="10">
        <v>148</v>
      </c>
      <c r="C198" s="9">
        <v>72.749608755160921</v>
      </c>
      <c r="D198" s="9">
        <v>58.199687004128734</v>
      </c>
      <c r="E198" s="9">
        <v>0</v>
      </c>
      <c r="F198" s="9">
        <v>0</v>
      </c>
      <c r="G198">
        <f t="shared" si="5"/>
        <v>-0.52129020920109292</v>
      </c>
    </row>
    <row r="199" spans="2:7" x14ac:dyDescent="0.2">
      <c r="B199" s="10">
        <v>149</v>
      </c>
      <c r="C199" s="9">
        <v>76.308034984245282</v>
      </c>
      <c r="D199" s="9">
        <v>61.046427987396228</v>
      </c>
      <c r="E199" s="9">
        <v>0</v>
      </c>
      <c r="F199" s="9">
        <v>0</v>
      </c>
      <c r="G199">
        <f t="shared" si="5"/>
        <v>-0.47353549676809209</v>
      </c>
    </row>
    <row r="200" spans="2:7" x14ac:dyDescent="0.2">
      <c r="B200" s="10">
        <v>150</v>
      </c>
      <c r="C200" s="9">
        <v>131.48221730398038</v>
      </c>
      <c r="D200" s="9">
        <v>100</v>
      </c>
      <c r="E200" s="9">
        <v>10.32572962212957</v>
      </c>
      <c r="F200" s="9">
        <v>21.156487681850805</v>
      </c>
      <c r="G200">
        <f t="shared" si="5"/>
        <v>1.9999999999999966E-2</v>
      </c>
    </row>
    <row r="201" spans="2:7" x14ac:dyDescent="0.2">
      <c r="B201" s="10">
        <v>151</v>
      </c>
      <c r="C201" s="9">
        <v>100.17874077275846</v>
      </c>
      <c r="D201" s="9">
        <v>100</v>
      </c>
      <c r="E201" s="9">
        <v>-0.63048716379810088</v>
      </c>
      <c r="F201" s="9">
        <v>0.80922793655656022</v>
      </c>
      <c r="G201">
        <f t="shared" si="5"/>
        <v>1.9999999999999966E-2</v>
      </c>
    </row>
    <row r="202" spans="2:7" x14ac:dyDescent="0.2">
      <c r="B202" s="10">
        <v>152</v>
      </c>
      <c r="C202" s="9">
        <v>114.30898859571437</v>
      </c>
      <c r="D202" s="9">
        <v>100</v>
      </c>
      <c r="E202" s="9">
        <v>4.3150995742364664</v>
      </c>
      <c r="F202" s="9">
        <v>9.9938890214779015</v>
      </c>
      <c r="G202">
        <f t="shared" si="5"/>
        <v>1.9999999999999966E-2</v>
      </c>
    </row>
    <row r="203" spans="2:7" x14ac:dyDescent="0.2">
      <c r="B203" s="10">
        <v>153</v>
      </c>
      <c r="C203" s="9">
        <v>84.214119445359898</v>
      </c>
      <c r="D203" s="9">
        <v>67.371295556287919</v>
      </c>
      <c r="E203" s="9">
        <v>0</v>
      </c>
      <c r="F203" s="9">
        <v>0</v>
      </c>
      <c r="G203">
        <f t="shared" si="5"/>
        <v>-0.37495114073749108</v>
      </c>
    </row>
    <row r="204" spans="2:7" x14ac:dyDescent="0.2">
      <c r="B204" s="10">
        <v>154</v>
      </c>
      <c r="C204" s="9">
        <v>87.900770651786885</v>
      </c>
      <c r="D204" s="9">
        <v>70.320616521429514</v>
      </c>
      <c r="E204" s="9">
        <v>0</v>
      </c>
      <c r="F204" s="9">
        <v>0</v>
      </c>
      <c r="G204">
        <f t="shared" si="5"/>
        <v>-0.33210516528001383</v>
      </c>
    </row>
    <row r="205" spans="2:7" x14ac:dyDescent="0.2">
      <c r="B205" s="10">
        <v>155</v>
      </c>
      <c r="C205" s="9">
        <v>121.40407552147934</v>
      </c>
      <c r="D205" s="9">
        <v>100</v>
      </c>
      <c r="E205" s="9">
        <v>6.7983799982542079</v>
      </c>
      <c r="F205" s="9">
        <v>14.605695523225133</v>
      </c>
      <c r="G205">
        <f t="shared" si="5"/>
        <v>1.9999999999999966E-2</v>
      </c>
    </row>
    <row r="206" spans="2:7" x14ac:dyDescent="0.2">
      <c r="B206" s="10">
        <v>156</v>
      </c>
      <c r="C206" s="9">
        <v>169.56067876096961</v>
      </c>
      <c r="D206" s="9">
        <v>100</v>
      </c>
      <c r="E206" s="9">
        <v>23.653191132075801</v>
      </c>
      <c r="F206" s="9">
        <v>45.907487628893804</v>
      </c>
      <c r="G206">
        <f t="shared" si="5"/>
        <v>1.9999999999999966E-2</v>
      </c>
    </row>
    <row r="207" spans="2:7" x14ac:dyDescent="0.2">
      <c r="B207" s="10">
        <v>157</v>
      </c>
      <c r="C207" s="9">
        <v>81.762776133096509</v>
      </c>
      <c r="D207" s="9">
        <v>65.410220906477207</v>
      </c>
      <c r="E207" s="9">
        <v>0</v>
      </c>
      <c r="F207" s="9">
        <v>0</v>
      </c>
      <c r="G207">
        <f t="shared" si="5"/>
        <v>-0.40449165676219256</v>
      </c>
    </row>
    <row r="208" spans="2:7" x14ac:dyDescent="0.2">
      <c r="B208" s="10">
        <v>158</v>
      </c>
      <c r="C208" s="9">
        <v>150.79692350050772</v>
      </c>
      <c r="D208" s="9">
        <v>100</v>
      </c>
      <c r="E208" s="9">
        <v>17.085876790914138</v>
      </c>
      <c r="F208" s="9">
        <v>33.711046709593575</v>
      </c>
      <c r="G208">
        <f t="shared" si="5"/>
        <v>1.9999999999999966E-2</v>
      </c>
    </row>
    <row r="209" spans="2:7" x14ac:dyDescent="0.2">
      <c r="B209" s="10">
        <v>159</v>
      </c>
      <c r="C209" s="9">
        <v>100.94946298353892</v>
      </c>
      <c r="D209" s="9">
        <v>100</v>
      </c>
      <c r="E209" s="9">
        <v>-0.36073439002493896</v>
      </c>
      <c r="F209" s="9">
        <v>1.3101973735638608</v>
      </c>
      <c r="G209">
        <f t="shared" si="5"/>
        <v>1.9999999999999966E-2</v>
      </c>
    </row>
    <row r="210" spans="2:7" x14ac:dyDescent="0.2">
      <c r="B210" s="10">
        <v>160</v>
      </c>
      <c r="C210" s="9">
        <v>92.321307476149343</v>
      </c>
      <c r="D210" s="9">
        <v>73.85704598091948</v>
      </c>
      <c r="E210" s="9">
        <v>0</v>
      </c>
      <c r="F210" s="9">
        <v>0</v>
      </c>
      <c r="G210">
        <f t="shared" si="5"/>
        <v>-0.28303877220617174</v>
      </c>
    </row>
    <row r="211" spans="2:7" x14ac:dyDescent="0.2">
      <c r="B211" s="10">
        <v>161</v>
      </c>
      <c r="C211" s="9">
        <v>106.12835509840721</v>
      </c>
      <c r="D211" s="9">
        <v>100</v>
      </c>
      <c r="E211" s="9">
        <v>1.4518778501789624</v>
      </c>
      <c r="F211" s="9">
        <v>4.6764772482282497</v>
      </c>
      <c r="G211">
        <f t="shared" si="5"/>
        <v>1.9999999999999966E-2</v>
      </c>
    </row>
    <row r="212" spans="2:7" x14ac:dyDescent="0.2">
      <c r="B212" s="10">
        <v>162</v>
      </c>
      <c r="C212" s="9">
        <v>97.844757913598272</v>
      </c>
      <c r="D212" s="9">
        <v>78.275806330878623</v>
      </c>
      <c r="E212" s="9">
        <v>0</v>
      </c>
      <c r="F212" s="9">
        <v>0</v>
      </c>
      <c r="G212">
        <f t="shared" si="5"/>
        <v>-0.22493161757184635</v>
      </c>
    </row>
    <row r="213" spans="2:7" x14ac:dyDescent="0.2">
      <c r="B213" s="10">
        <v>163</v>
      </c>
      <c r="C213" s="9">
        <v>110.04222700246382</v>
      </c>
      <c r="D213" s="9">
        <v>100</v>
      </c>
      <c r="E213" s="9">
        <v>2.8217330165987744</v>
      </c>
      <c r="F213" s="9">
        <v>7.2204939858650441</v>
      </c>
      <c r="G213">
        <f t="shared" si="5"/>
        <v>1.9999999999999966E-2</v>
      </c>
    </row>
    <row r="214" spans="2:7" x14ac:dyDescent="0.2">
      <c r="B214" s="10">
        <v>164</v>
      </c>
      <c r="C214" s="9">
        <v>91.468547315158631</v>
      </c>
      <c r="D214" s="9">
        <v>73.174837852126899</v>
      </c>
      <c r="E214" s="9">
        <v>0</v>
      </c>
      <c r="F214" s="9">
        <v>0</v>
      </c>
      <c r="G214">
        <f t="shared" si="5"/>
        <v>-0.29231856930426903</v>
      </c>
    </row>
    <row r="215" spans="2:7" x14ac:dyDescent="0.2">
      <c r="B215" s="10">
        <v>165</v>
      </c>
      <c r="C215" s="9">
        <v>75.491067173597713</v>
      </c>
      <c r="D215" s="9">
        <v>60.392853738878173</v>
      </c>
      <c r="E215" s="9">
        <v>0</v>
      </c>
      <c r="F215" s="9">
        <v>0</v>
      </c>
      <c r="G215">
        <f t="shared" si="5"/>
        <v>-0.48429940362864987</v>
      </c>
    </row>
    <row r="216" spans="2:7" x14ac:dyDescent="0.2">
      <c r="B216" s="10">
        <v>166</v>
      </c>
      <c r="C216" s="9">
        <v>122.50065732254802</v>
      </c>
      <c r="D216" s="9">
        <v>100</v>
      </c>
      <c r="E216" s="9">
        <v>7.1821836286282457</v>
      </c>
      <c r="F216" s="9">
        <v>15.318473693919778</v>
      </c>
      <c r="G216">
        <f t="shared" si="5"/>
        <v>1.9999999999999966E-2</v>
      </c>
    </row>
    <row r="217" spans="2:7" x14ac:dyDescent="0.2">
      <c r="B217" s="10">
        <v>167</v>
      </c>
      <c r="C217" s="9">
        <v>186.02894745790775</v>
      </c>
      <c r="D217" s="9">
        <v>100</v>
      </c>
      <c r="E217" s="9">
        <v>29.417085176004147</v>
      </c>
      <c r="F217" s="9">
        <v>56.611862281903598</v>
      </c>
      <c r="G217">
        <f t="shared" si="5"/>
        <v>1.9999999999999966E-2</v>
      </c>
    </row>
    <row r="218" spans="2:7" x14ac:dyDescent="0.2">
      <c r="B218" s="10">
        <v>168</v>
      </c>
      <c r="C218" s="9">
        <v>147.94423905933209</v>
      </c>
      <c r="D218" s="9">
        <v>100</v>
      </c>
      <c r="E218" s="9">
        <v>16.087437236502669</v>
      </c>
      <c r="F218" s="9">
        <v>31.856801822829421</v>
      </c>
      <c r="G218">
        <f t="shared" si="5"/>
        <v>1.9999999999999966E-2</v>
      </c>
    </row>
    <row r="219" spans="2:7" x14ac:dyDescent="0.2">
      <c r="B219" s="10">
        <v>169</v>
      </c>
      <c r="C219" s="9">
        <v>72.17035760906046</v>
      </c>
      <c r="D219" s="9">
        <v>57.736286087248367</v>
      </c>
      <c r="E219" s="9">
        <v>0</v>
      </c>
      <c r="F219" s="9">
        <v>0</v>
      </c>
      <c r="G219">
        <f t="shared" si="5"/>
        <v>-0.52928433513741446</v>
      </c>
    </row>
    <row r="220" spans="2:7" x14ac:dyDescent="0.2">
      <c r="B220" s="10">
        <v>170</v>
      </c>
      <c r="C220" s="9">
        <v>121.85429382516502</v>
      </c>
      <c r="D220" s="9">
        <v>100</v>
      </c>
      <c r="E220" s="9">
        <v>6.9559564045441933</v>
      </c>
      <c r="F220" s="9">
        <v>14.898337420620823</v>
      </c>
      <c r="G220">
        <f t="shared" si="5"/>
        <v>1.9999999999999966E-2</v>
      </c>
    </row>
    <row r="221" spans="2:7" x14ac:dyDescent="0.2">
      <c r="B221" s="10">
        <v>171</v>
      </c>
      <c r="C221" s="9">
        <v>81.480989313462473</v>
      </c>
      <c r="D221" s="9">
        <v>65.184791450769978</v>
      </c>
      <c r="E221" s="9">
        <v>0</v>
      </c>
      <c r="F221" s="9">
        <v>0</v>
      </c>
      <c r="G221">
        <f t="shared" si="5"/>
        <v>-0.40794400422233501</v>
      </c>
    </row>
    <row r="222" spans="2:7" x14ac:dyDescent="0.2">
      <c r="B222" s="10">
        <v>172</v>
      </c>
      <c r="C222" s="9">
        <v>96.825838558754697</v>
      </c>
      <c r="D222" s="9">
        <v>77.460670847003755</v>
      </c>
      <c r="E222" s="9">
        <v>0</v>
      </c>
      <c r="F222" s="9">
        <v>0</v>
      </c>
      <c r="G222">
        <f t="shared" si="5"/>
        <v>-0.23539985137865016</v>
      </c>
    </row>
    <row r="223" spans="2:7" x14ac:dyDescent="0.2">
      <c r="B223" s="10">
        <v>173</v>
      </c>
      <c r="C223" s="9">
        <v>95.405285580699029</v>
      </c>
      <c r="D223" s="9">
        <v>76.324228464559226</v>
      </c>
      <c r="E223" s="9">
        <v>0</v>
      </c>
      <c r="F223" s="9">
        <v>0</v>
      </c>
      <c r="G223">
        <f t="shared" si="5"/>
        <v>-0.25017975597298486</v>
      </c>
    </row>
    <row r="224" spans="2:7" x14ac:dyDescent="0.2">
      <c r="B224" s="10">
        <v>174</v>
      </c>
      <c r="C224" s="9">
        <v>112.16211013907247</v>
      </c>
      <c r="D224" s="9">
        <v>100</v>
      </c>
      <c r="E224" s="9">
        <v>3.5636921144118019</v>
      </c>
      <c r="F224" s="9">
        <v>8.5984180246606652</v>
      </c>
      <c r="G224">
        <f t="shared" si="5"/>
        <v>1.9999999999999966E-2</v>
      </c>
    </row>
    <row r="225" spans="2:7" x14ac:dyDescent="0.2">
      <c r="B225" s="10">
        <v>175</v>
      </c>
      <c r="C225" s="9">
        <v>140.62537358601884</v>
      </c>
      <c r="D225" s="9">
        <v>100</v>
      </c>
      <c r="E225" s="9">
        <v>13.525834320843032</v>
      </c>
      <c r="F225" s="9">
        <v>27.099539265175807</v>
      </c>
      <c r="G225">
        <f t="shared" si="5"/>
        <v>1.9999999999999966E-2</v>
      </c>
    </row>
    <row r="226" spans="2:7" x14ac:dyDescent="0.2">
      <c r="B226" s="10">
        <v>176</v>
      </c>
      <c r="C226" s="9">
        <v>94.044044622246261</v>
      </c>
      <c r="D226" s="9">
        <v>75.235235697797009</v>
      </c>
      <c r="E226" s="9">
        <v>0</v>
      </c>
      <c r="F226" s="9">
        <v>0</v>
      </c>
      <c r="G226">
        <f t="shared" si="5"/>
        <v>-0.26455050496103671</v>
      </c>
    </row>
    <row r="227" spans="2:7" x14ac:dyDescent="0.2">
      <c r="B227" s="10">
        <v>177</v>
      </c>
      <c r="C227" s="9">
        <v>112.72852546974225</v>
      </c>
      <c r="D227" s="9">
        <v>100</v>
      </c>
      <c r="E227" s="9">
        <v>3.761937480146226</v>
      </c>
      <c r="F227" s="9">
        <v>8.9665879895960252</v>
      </c>
      <c r="G227">
        <f t="shared" si="5"/>
        <v>1.9999999999999966E-2</v>
      </c>
    </row>
    <row r="228" spans="2:7" x14ac:dyDescent="0.2">
      <c r="B228" s="10">
        <v>178</v>
      </c>
      <c r="C228" s="9">
        <v>116.95816162648241</v>
      </c>
      <c r="D228" s="9">
        <v>100</v>
      </c>
      <c r="E228" s="9">
        <v>5.2423101350052805</v>
      </c>
      <c r="F228" s="9">
        <v>11.715851491477128</v>
      </c>
      <c r="G228">
        <f t="shared" si="5"/>
        <v>1.9999999999999966E-2</v>
      </c>
    </row>
    <row r="229" spans="2:7" x14ac:dyDescent="0.2">
      <c r="B229" s="10">
        <v>179</v>
      </c>
      <c r="C229" s="9">
        <v>98.315917794553386</v>
      </c>
      <c r="D229" s="9">
        <v>78.652734235642711</v>
      </c>
      <c r="E229" s="9">
        <v>0</v>
      </c>
      <c r="F229" s="9">
        <v>0</v>
      </c>
      <c r="G229">
        <f t="shared" si="5"/>
        <v>-0.22012779248995193</v>
      </c>
    </row>
    <row r="230" spans="2:7" x14ac:dyDescent="0.2">
      <c r="B230" s="10">
        <v>180</v>
      </c>
      <c r="C230" s="9">
        <v>168.05067093469256</v>
      </c>
      <c r="D230" s="9">
        <v>100</v>
      </c>
      <c r="E230" s="9">
        <v>23.124688392878834</v>
      </c>
      <c r="F230" s="9">
        <v>44.925982541813724</v>
      </c>
      <c r="G230">
        <f t="shared" si="5"/>
        <v>1.9999999999999966E-2</v>
      </c>
    </row>
    <row r="231" spans="2:7" x14ac:dyDescent="0.2">
      <c r="B231" s="10">
        <v>181</v>
      </c>
      <c r="C231" s="9">
        <v>110.31480367771431</v>
      </c>
      <c r="D231" s="9">
        <v>100</v>
      </c>
      <c r="E231" s="9">
        <v>2.9171348529364463</v>
      </c>
      <c r="F231" s="9">
        <v>7.3976688247778633</v>
      </c>
      <c r="G231">
        <f t="shared" si="5"/>
        <v>1.9999999999999966E-2</v>
      </c>
    </row>
    <row r="232" spans="2:7" x14ac:dyDescent="0.2">
      <c r="B232" s="10">
        <v>182</v>
      </c>
      <c r="C232" s="9">
        <v>107.15534634726207</v>
      </c>
      <c r="D232" s="9">
        <v>100</v>
      </c>
      <c r="E232" s="9">
        <v>1.8113247872781619</v>
      </c>
      <c r="F232" s="9">
        <v>5.344021559983906</v>
      </c>
      <c r="G232">
        <f t="shared" si="5"/>
        <v>1.9999999999999966E-2</v>
      </c>
    </row>
    <row r="233" spans="2:7" x14ac:dyDescent="0.2">
      <c r="B233" s="10">
        <v>183</v>
      </c>
      <c r="C233" s="9">
        <v>96.548786230783477</v>
      </c>
      <c r="D233" s="9">
        <v>77.239028984626785</v>
      </c>
      <c r="E233" s="9">
        <v>0</v>
      </c>
      <c r="F233" s="9">
        <v>0</v>
      </c>
      <c r="G233">
        <f t="shared" si="5"/>
        <v>-0.23826529991245901</v>
      </c>
    </row>
    <row r="234" spans="2:7" x14ac:dyDescent="0.2">
      <c r="B234" s="10">
        <v>184</v>
      </c>
      <c r="C234" s="9">
        <v>63.199812517231635</v>
      </c>
      <c r="D234" s="9">
        <v>50.559850013785308</v>
      </c>
      <c r="E234" s="9">
        <v>0</v>
      </c>
      <c r="F234" s="9">
        <v>0</v>
      </c>
      <c r="G234">
        <f t="shared" si="5"/>
        <v>-0.6620124026533889</v>
      </c>
    </row>
    <row r="235" spans="2:7" x14ac:dyDescent="0.2">
      <c r="B235" s="10">
        <v>185</v>
      </c>
      <c r="C235" s="9">
        <v>122.40724110549061</v>
      </c>
      <c r="D235" s="9">
        <v>100</v>
      </c>
      <c r="E235" s="9">
        <v>7.1494879526581521</v>
      </c>
      <c r="F235" s="9">
        <v>15.257753152832461</v>
      </c>
      <c r="G235">
        <f t="shared" si="5"/>
        <v>1.9999999999999966E-2</v>
      </c>
    </row>
    <row r="236" spans="2:7" x14ac:dyDescent="0.2">
      <c r="B236" s="10">
        <v>186</v>
      </c>
      <c r="C236" s="9">
        <v>98.268984750248251</v>
      </c>
      <c r="D236" s="9">
        <v>78.615187800198598</v>
      </c>
      <c r="E236" s="9">
        <v>0</v>
      </c>
      <c r="F236" s="9">
        <v>0</v>
      </c>
      <c r="G236">
        <f t="shared" si="5"/>
        <v>-0.22060527620909098</v>
      </c>
    </row>
    <row r="237" spans="2:7" x14ac:dyDescent="0.2">
      <c r="B237" s="10">
        <v>187</v>
      </c>
      <c r="C237" s="9">
        <v>122.76197012036559</v>
      </c>
      <c r="D237" s="9">
        <v>100</v>
      </c>
      <c r="E237" s="9">
        <v>7.2736431078643937</v>
      </c>
      <c r="F237" s="9">
        <v>15.488327012501195</v>
      </c>
      <c r="G237">
        <f t="shared" si="5"/>
        <v>1.9999999999999966E-2</v>
      </c>
    </row>
    <row r="238" spans="2:7" x14ac:dyDescent="0.2">
      <c r="B238" s="10">
        <v>188</v>
      </c>
      <c r="C238" s="9">
        <v>118.28748310228214</v>
      </c>
      <c r="D238" s="9">
        <v>100</v>
      </c>
      <c r="E238" s="9">
        <v>5.7075726515351866</v>
      </c>
      <c r="F238" s="9">
        <v>12.579910450746951</v>
      </c>
      <c r="G238">
        <f t="shared" si="5"/>
        <v>1.9999999999999966E-2</v>
      </c>
    </row>
    <row r="239" spans="2:7" x14ac:dyDescent="0.2">
      <c r="B239" s="10">
        <v>189</v>
      </c>
      <c r="C239" s="9">
        <v>131.25065561695968</v>
      </c>
      <c r="D239" s="9">
        <v>100</v>
      </c>
      <c r="E239" s="9">
        <v>10.244683031672324</v>
      </c>
      <c r="F239" s="9">
        <v>21.005972585287353</v>
      </c>
      <c r="G239">
        <f t="shared" si="5"/>
        <v>1.9999999999999966E-2</v>
      </c>
    </row>
    <row r="240" spans="2:7" x14ac:dyDescent="0.2">
      <c r="B240" s="10">
        <v>190</v>
      </c>
      <c r="C240" s="9">
        <v>100.05094240790295</v>
      </c>
      <c r="D240" s="9">
        <v>100</v>
      </c>
      <c r="E240" s="9">
        <v>-0.67521659149752855</v>
      </c>
      <c r="F240" s="9">
        <v>0.72615899940048001</v>
      </c>
      <c r="G240">
        <f t="shared" si="5"/>
        <v>1.9999999999999966E-2</v>
      </c>
    </row>
    <row r="241" spans="2:7" x14ac:dyDescent="0.2">
      <c r="B241" s="10">
        <v>191</v>
      </c>
      <c r="C241" s="9">
        <v>140.46723737800326</v>
      </c>
      <c r="D241" s="9">
        <v>100</v>
      </c>
      <c r="E241" s="9">
        <v>13.470486648037578</v>
      </c>
      <c r="F241" s="9">
        <v>26.996750729965683</v>
      </c>
      <c r="G241">
        <f t="shared" si="5"/>
        <v>1.9999999999999966E-2</v>
      </c>
    </row>
    <row r="242" spans="2:7" x14ac:dyDescent="0.2">
      <c r="B242" s="10">
        <v>192</v>
      </c>
      <c r="C242" s="9">
        <v>151.02524882355024</v>
      </c>
      <c r="D242" s="9">
        <v>100</v>
      </c>
      <c r="E242" s="9">
        <v>17.165790653979023</v>
      </c>
      <c r="F242" s="9">
        <v>33.859458169571219</v>
      </c>
      <c r="G242">
        <f t="shared" si="5"/>
        <v>1.9999999999999966E-2</v>
      </c>
    </row>
    <row r="243" spans="2:7" x14ac:dyDescent="0.2">
      <c r="B243" s="10">
        <v>193</v>
      </c>
      <c r="C243" s="9">
        <v>128.08544683404082</v>
      </c>
      <c r="D243" s="9">
        <v>100</v>
      </c>
      <c r="E243" s="9">
        <v>9.1368599576507261</v>
      </c>
      <c r="F243" s="9">
        <v>18.948586876390095</v>
      </c>
      <c r="G243">
        <f t="shared" ref="G243:G306" si="6">LN(D243/$C$7)</f>
        <v>1.9999999999999966E-2</v>
      </c>
    </row>
    <row r="244" spans="2:7" x14ac:dyDescent="0.2">
      <c r="B244" s="10">
        <v>194</v>
      </c>
      <c r="C244" s="9">
        <v>86.223270548160087</v>
      </c>
      <c r="D244" s="9">
        <v>68.978616438528064</v>
      </c>
      <c r="E244" s="9">
        <v>0</v>
      </c>
      <c r="F244" s="9">
        <v>0</v>
      </c>
      <c r="G244">
        <f t="shared" si="6"/>
        <v>-0.35137363610983252</v>
      </c>
    </row>
    <row r="245" spans="2:7" x14ac:dyDescent="0.2">
      <c r="B245" s="10">
        <v>195</v>
      </c>
      <c r="C245" s="9">
        <v>114.34114185580096</v>
      </c>
      <c r="D245" s="9">
        <v>100</v>
      </c>
      <c r="E245" s="9">
        <v>4.3263532152667725</v>
      </c>
      <c r="F245" s="9">
        <v>10.014788640534183</v>
      </c>
      <c r="G245">
        <f t="shared" si="6"/>
        <v>1.9999999999999966E-2</v>
      </c>
    </row>
    <row r="246" spans="2:7" x14ac:dyDescent="0.2">
      <c r="B246" s="10">
        <v>196</v>
      </c>
      <c r="C246" s="9">
        <v>121.10410804111902</v>
      </c>
      <c r="D246" s="9">
        <v>100</v>
      </c>
      <c r="E246" s="9">
        <v>6.6933913801280944</v>
      </c>
      <c r="F246" s="9">
        <v>14.410716660990925</v>
      </c>
      <c r="G246">
        <f t="shared" si="6"/>
        <v>1.9999999999999966E-2</v>
      </c>
    </row>
    <row r="247" spans="2:7" x14ac:dyDescent="0.2">
      <c r="B247" s="10">
        <v>197</v>
      </c>
      <c r="C247" s="9">
        <v>124.95992725327407</v>
      </c>
      <c r="D247" s="9">
        <v>100</v>
      </c>
      <c r="E247" s="9">
        <v>8.0429281043823639</v>
      </c>
      <c r="F247" s="9">
        <v>16.916999148891712</v>
      </c>
      <c r="G247">
        <f t="shared" si="6"/>
        <v>1.9999999999999966E-2</v>
      </c>
    </row>
    <row r="248" spans="2:7" x14ac:dyDescent="0.2">
      <c r="B248" s="10">
        <v>198</v>
      </c>
      <c r="C248" s="9">
        <v>196.96340951511306</v>
      </c>
      <c r="D248" s="9">
        <v>100</v>
      </c>
      <c r="E248" s="9">
        <v>33.24414689602601</v>
      </c>
      <c r="F248" s="9">
        <v>63.719262619087047</v>
      </c>
      <c r="G248">
        <f t="shared" si="6"/>
        <v>1.9999999999999966E-2</v>
      </c>
    </row>
    <row r="249" spans="2:7" x14ac:dyDescent="0.2">
      <c r="B249" s="10">
        <v>199</v>
      </c>
      <c r="C249" s="9">
        <v>164.55935199811665</v>
      </c>
      <c r="D249" s="9">
        <v>100</v>
      </c>
      <c r="E249" s="9">
        <v>21.902726765077265</v>
      </c>
      <c r="F249" s="9">
        <v>42.656625233039392</v>
      </c>
      <c r="G249">
        <f t="shared" si="6"/>
        <v>1.9999999999999966E-2</v>
      </c>
    </row>
    <row r="250" spans="2:7" x14ac:dyDescent="0.2">
      <c r="B250" s="10">
        <v>200</v>
      </c>
      <c r="C250" s="9">
        <v>87.100746568097236</v>
      </c>
      <c r="D250" s="9">
        <v>69.680597254477789</v>
      </c>
      <c r="E250" s="9">
        <v>0</v>
      </c>
      <c r="F250" s="9">
        <v>0</v>
      </c>
      <c r="G250">
        <f t="shared" si="6"/>
        <v>-0.34124828209025398</v>
      </c>
    </row>
    <row r="251" spans="2:7" x14ac:dyDescent="0.2">
      <c r="B251" s="10">
        <v>201</v>
      </c>
      <c r="C251" s="9">
        <v>147.45265987881487</v>
      </c>
      <c r="D251" s="9">
        <v>100</v>
      </c>
      <c r="E251" s="9">
        <v>15.915384523321642</v>
      </c>
      <c r="F251" s="9">
        <v>31.537275355493229</v>
      </c>
      <c r="G251">
        <f t="shared" si="6"/>
        <v>1.9999999999999966E-2</v>
      </c>
    </row>
    <row r="252" spans="2:7" x14ac:dyDescent="0.2">
      <c r="B252" s="10">
        <v>202</v>
      </c>
      <c r="C252" s="9">
        <v>102.49059050718741</v>
      </c>
      <c r="D252" s="9">
        <v>100</v>
      </c>
      <c r="E252" s="9">
        <v>0.17866024325203042</v>
      </c>
      <c r="F252" s="9">
        <v>2.3119302639353756</v>
      </c>
      <c r="G252">
        <f t="shared" si="6"/>
        <v>1.9999999999999966E-2</v>
      </c>
    </row>
    <row r="253" spans="2:7" x14ac:dyDescent="0.2">
      <c r="B253" s="10">
        <v>203</v>
      </c>
      <c r="C253" s="9">
        <v>81.08152828549035</v>
      </c>
      <c r="D253" s="9">
        <v>64.865222628392274</v>
      </c>
      <c r="E253" s="9">
        <v>0</v>
      </c>
      <c r="F253" s="9">
        <v>0</v>
      </c>
      <c r="G253">
        <f t="shared" si="6"/>
        <v>-0.41285856679044181</v>
      </c>
    </row>
    <row r="254" spans="2:7" x14ac:dyDescent="0.2">
      <c r="B254" s="10">
        <v>204</v>
      </c>
      <c r="C254" s="9">
        <v>143.41492942676106</v>
      </c>
      <c r="D254" s="9">
        <v>100</v>
      </c>
      <c r="E254" s="9">
        <v>14.50217886510281</v>
      </c>
      <c r="F254" s="9">
        <v>28.912750561658253</v>
      </c>
      <c r="G254">
        <f t="shared" si="6"/>
        <v>1.9999999999999966E-2</v>
      </c>
    </row>
    <row r="255" spans="2:7" x14ac:dyDescent="0.2">
      <c r="B255" s="10">
        <v>205</v>
      </c>
      <c r="C255" s="9">
        <v>153.32623464172656</v>
      </c>
      <c r="D255" s="9">
        <v>100</v>
      </c>
      <c r="E255" s="9">
        <v>17.971135690340731</v>
      </c>
      <c r="F255" s="9">
        <v>35.355098951385827</v>
      </c>
      <c r="G255">
        <f t="shared" si="6"/>
        <v>1.9999999999999966E-2</v>
      </c>
    </row>
    <row r="256" spans="2:7" x14ac:dyDescent="0.2">
      <c r="B256" s="10">
        <v>206</v>
      </c>
      <c r="C256" s="9">
        <v>148.87070166212035</v>
      </c>
      <c r="D256" s="9">
        <v>100</v>
      </c>
      <c r="E256" s="9">
        <v>16.411699147478561</v>
      </c>
      <c r="F256" s="9">
        <v>32.459002514641796</v>
      </c>
      <c r="G256">
        <f t="shared" si="6"/>
        <v>1.9999999999999966E-2</v>
      </c>
    </row>
    <row r="257" spans="2:7" x14ac:dyDescent="0.2">
      <c r="B257" s="10">
        <v>207</v>
      </c>
      <c r="C257" s="9">
        <v>132.44081893057594</v>
      </c>
      <c r="D257" s="9">
        <v>100</v>
      </c>
      <c r="E257" s="9">
        <v>10.661240191438019</v>
      </c>
      <c r="F257" s="9">
        <v>21.779578739137925</v>
      </c>
      <c r="G257">
        <f t="shared" si="6"/>
        <v>1.9999999999999966E-2</v>
      </c>
    </row>
    <row r="258" spans="2:7" x14ac:dyDescent="0.2">
      <c r="B258" s="10">
        <v>208</v>
      </c>
      <c r="C258" s="9">
        <v>65.959877147461199</v>
      </c>
      <c r="D258" s="9">
        <v>52.767901717968961</v>
      </c>
      <c r="E258" s="9">
        <v>0</v>
      </c>
      <c r="F258" s="9">
        <v>0</v>
      </c>
      <c r="G258">
        <f t="shared" si="6"/>
        <v>-0.61926710214354719</v>
      </c>
    </row>
    <row r="259" spans="2:7" x14ac:dyDescent="0.2">
      <c r="B259" s="10">
        <v>209</v>
      </c>
      <c r="C259" s="9">
        <v>111.57081001336083</v>
      </c>
      <c r="D259" s="9">
        <v>100</v>
      </c>
      <c r="E259" s="9">
        <v>3.3567370704127275</v>
      </c>
      <c r="F259" s="9">
        <v>8.2140729429480999</v>
      </c>
      <c r="G259">
        <f t="shared" si="6"/>
        <v>1.9999999999999966E-2</v>
      </c>
    </row>
    <row r="260" spans="2:7" x14ac:dyDescent="0.2">
      <c r="B260" s="10">
        <v>210</v>
      </c>
      <c r="C260" s="9">
        <v>90.809435344430668</v>
      </c>
      <c r="D260" s="9">
        <v>72.647548275544537</v>
      </c>
      <c r="E260" s="9">
        <v>0</v>
      </c>
      <c r="F260" s="9">
        <v>0</v>
      </c>
      <c r="G260">
        <f t="shared" si="6"/>
        <v>-0.29955054360876643</v>
      </c>
    </row>
    <row r="261" spans="2:7" x14ac:dyDescent="0.2">
      <c r="B261" s="10">
        <v>211</v>
      </c>
      <c r="C261" s="9">
        <v>114.28353057752712</v>
      </c>
      <c r="D261" s="9">
        <v>100</v>
      </c>
      <c r="E261" s="9">
        <v>4.3061892678709288</v>
      </c>
      <c r="F261" s="9">
        <v>9.9773413096561878</v>
      </c>
      <c r="G261">
        <f t="shared" si="6"/>
        <v>1.9999999999999966E-2</v>
      </c>
    </row>
    <row r="262" spans="2:7" x14ac:dyDescent="0.2">
      <c r="B262" s="10">
        <v>212</v>
      </c>
      <c r="C262" s="9">
        <v>235.27293644080891</v>
      </c>
      <c r="D262" s="9">
        <v>100</v>
      </c>
      <c r="E262" s="9">
        <v>46.652481320019554</v>
      </c>
      <c r="F262" s="9">
        <v>88.620455120789359</v>
      </c>
      <c r="G262">
        <f t="shared" si="6"/>
        <v>1.9999999999999966E-2</v>
      </c>
    </row>
    <row r="263" spans="2:7" x14ac:dyDescent="0.2">
      <c r="B263" s="10">
        <v>213</v>
      </c>
      <c r="C263" s="9">
        <v>125.30936903755415</v>
      </c>
      <c r="D263" s="9">
        <v>100</v>
      </c>
      <c r="E263" s="9">
        <v>8.1652327288803903</v>
      </c>
      <c r="F263" s="9">
        <v>17.144136308673758</v>
      </c>
      <c r="G263">
        <f t="shared" si="6"/>
        <v>1.9999999999999966E-2</v>
      </c>
    </row>
    <row r="264" spans="2:7" x14ac:dyDescent="0.2">
      <c r="B264" s="10">
        <v>214</v>
      </c>
      <c r="C264" s="9">
        <v>84.834450063893016</v>
      </c>
      <c r="D264" s="9">
        <v>67.86756005111441</v>
      </c>
      <c r="E264" s="9">
        <v>0</v>
      </c>
      <c r="F264" s="9">
        <v>0</v>
      </c>
      <c r="G264">
        <f t="shared" si="6"/>
        <v>-0.36761202624848349</v>
      </c>
    </row>
    <row r="265" spans="2:7" x14ac:dyDescent="0.2">
      <c r="B265" s="10">
        <v>215</v>
      </c>
      <c r="C265" s="9">
        <v>80.883501941580249</v>
      </c>
      <c r="D265" s="9">
        <v>64.706801553264199</v>
      </c>
      <c r="E265" s="9">
        <v>0</v>
      </c>
      <c r="F265" s="9">
        <v>0</v>
      </c>
      <c r="G265">
        <f t="shared" si="6"/>
        <v>-0.41530386553557336</v>
      </c>
    </row>
    <row r="266" spans="2:7" x14ac:dyDescent="0.2">
      <c r="B266" s="10">
        <v>216</v>
      </c>
      <c r="C266" s="9">
        <v>149.16106375311787</v>
      </c>
      <c r="D266" s="9">
        <v>100</v>
      </c>
      <c r="E266" s="9">
        <v>16.513325879327692</v>
      </c>
      <c r="F266" s="9">
        <v>32.647737873790177</v>
      </c>
      <c r="G266">
        <f t="shared" si="6"/>
        <v>1.9999999999999966E-2</v>
      </c>
    </row>
    <row r="267" spans="2:7" x14ac:dyDescent="0.2">
      <c r="B267" s="10">
        <v>217</v>
      </c>
      <c r="C267" s="9">
        <v>110.50009829202634</v>
      </c>
      <c r="D267" s="9">
        <v>100</v>
      </c>
      <c r="E267" s="9">
        <v>2.9819879679456562</v>
      </c>
      <c r="F267" s="9">
        <v>7.5181103240806806</v>
      </c>
      <c r="G267">
        <f t="shared" si="6"/>
        <v>1.9999999999999966E-2</v>
      </c>
    </row>
    <row r="268" spans="2:7" x14ac:dyDescent="0.2">
      <c r="B268" s="10">
        <v>218</v>
      </c>
      <c r="C268" s="9">
        <v>152.93293724525853</v>
      </c>
      <c r="D268" s="9">
        <v>100</v>
      </c>
      <c r="E268" s="9">
        <v>17.833481601576921</v>
      </c>
      <c r="F268" s="9">
        <v>35.099455643681608</v>
      </c>
      <c r="G268">
        <f t="shared" si="6"/>
        <v>1.9999999999999966E-2</v>
      </c>
    </row>
    <row r="269" spans="2:7" x14ac:dyDescent="0.2">
      <c r="B269" s="10">
        <v>219</v>
      </c>
      <c r="C269" s="9">
        <v>130.05704522754112</v>
      </c>
      <c r="D269" s="9">
        <v>100</v>
      </c>
      <c r="E269" s="9">
        <v>9.8269193953758318</v>
      </c>
      <c r="F269" s="9">
        <v>20.230125832165292</v>
      </c>
      <c r="G269">
        <f t="shared" si="6"/>
        <v>1.9999999999999966E-2</v>
      </c>
    </row>
    <row r="270" spans="2:7" x14ac:dyDescent="0.2">
      <c r="B270" s="10">
        <v>220</v>
      </c>
      <c r="C270" s="9">
        <v>210.02438368041015</v>
      </c>
      <c r="D270" s="9">
        <v>100</v>
      </c>
      <c r="E270" s="9">
        <v>37.815487853879986</v>
      </c>
      <c r="F270" s="9">
        <v>72.208895826530167</v>
      </c>
      <c r="G270">
        <f t="shared" si="6"/>
        <v>1.9999999999999966E-2</v>
      </c>
    </row>
    <row r="271" spans="2:7" x14ac:dyDescent="0.2">
      <c r="B271" s="10">
        <v>221</v>
      </c>
      <c r="C271" s="9">
        <v>114.39525421261327</v>
      </c>
      <c r="D271" s="9">
        <v>100</v>
      </c>
      <c r="E271" s="9">
        <v>4.3452925401510818</v>
      </c>
      <c r="F271" s="9">
        <v>10.049961672462185</v>
      </c>
      <c r="G271">
        <f t="shared" si="6"/>
        <v>1.9999999999999966E-2</v>
      </c>
    </row>
    <row r="272" spans="2:7" x14ac:dyDescent="0.2">
      <c r="B272" s="10">
        <v>222</v>
      </c>
      <c r="C272" s="9">
        <v>161.47695722114267</v>
      </c>
      <c r="D272" s="9">
        <v>100</v>
      </c>
      <c r="E272" s="9">
        <v>20.82388859313637</v>
      </c>
      <c r="F272" s="9">
        <v>40.653068628006295</v>
      </c>
      <c r="G272">
        <f t="shared" si="6"/>
        <v>1.9999999999999966E-2</v>
      </c>
    </row>
    <row r="273" spans="2:7" x14ac:dyDescent="0.2">
      <c r="B273" s="10">
        <v>223</v>
      </c>
      <c r="C273" s="9">
        <v>152.83603418438645</v>
      </c>
      <c r="D273" s="9">
        <v>100</v>
      </c>
      <c r="E273" s="9">
        <v>17.799565530271693</v>
      </c>
      <c r="F273" s="9">
        <v>35.036468654114756</v>
      </c>
      <c r="G273">
        <f t="shared" si="6"/>
        <v>1.9999999999999966E-2</v>
      </c>
    </row>
    <row r="274" spans="2:7" x14ac:dyDescent="0.2">
      <c r="B274" s="10">
        <v>224</v>
      </c>
      <c r="C274" s="9">
        <v>121.66313943581584</v>
      </c>
      <c r="D274" s="9">
        <v>100</v>
      </c>
      <c r="E274" s="9">
        <v>6.8890523682719804</v>
      </c>
      <c r="F274" s="9">
        <v>14.774087067543856</v>
      </c>
      <c r="G274">
        <f t="shared" si="6"/>
        <v>1.9999999999999966E-2</v>
      </c>
    </row>
    <row r="275" spans="2:7" x14ac:dyDescent="0.2">
      <c r="B275" s="10">
        <v>225</v>
      </c>
      <c r="C275" s="9">
        <v>109.90758236915734</v>
      </c>
      <c r="D275" s="9">
        <v>100</v>
      </c>
      <c r="E275" s="9">
        <v>2.7746073949415067</v>
      </c>
      <c r="F275" s="9">
        <v>7.1329749742158324</v>
      </c>
      <c r="G275">
        <f t="shared" si="6"/>
        <v>1.9999999999999966E-2</v>
      </c>
    </row>
    <row r="276" spans="2:7" x14ac:dyDescent="0.2">
      <c r="B276" s="10">
        <v>226</v>
      </c>
      <c r="C276" s="9">
        <v>101.49394981577662</v>
      </c>
      <c r="D276" s="9">
        <v>100</v>
      </c>
      <c r="E276" s="9">
        <v>-0.17016399874174581</v>
      </c>
      <c r="F276" s="9">
        <v>1.6641138145183625</v>
      </c>
      <c r="G276">
        <f t="shared" si="6"/>
        <v>1.9999999999999966E-2</v>
      </c>
    </row>
    <row r="277" spans="2:7" x14ac:dyDescent="0.2">
      <c r="B277" s="10">
        <v>227</v>
      </c>
      <c r="C277" s="9">
        <v>108.67678322747902</v>
      </c>
      <c r="D277" s="9">
        <v>100</v>
      </c>
      <c r="E277" s="9">
        <v>2.3438276953540953</v>
      </c>
      <c r="F277" s="9">
        <v>6.3329555321249256</v>
      </c>
      <c r="G277">
        <f t="shared" si="6"/>
        <v>1.9999999999999966E-2</v>
      </c>
    </row>
    <row r="278" spans="2:7" x14ac:dyDescent="0.2">
      <c r="B278" s="10">
        <v>228</v>
      </c>
      <c r="C278" s="9">
        <v>126.35002384641332</v>
      </c>
      <c r="D278" s="9">
        <v>100</v>
      </c>
      <c r="E278" s="9">
        <v>8.5294619119810999</v>
      </c>
      <c r="F278" s="9">
        <v>17.82056193443222</v>
      </c>
      <c r="G278">
        <f t="shared" si="6"/>
        <v>1.9999999999999966E-2</v>
      </c>
    </row>
    <row r="279" spans="2:7" x14ac:dyDescent="0.2">
      <c r="B279" s="10">
        <v>229</v>
      </c>
      <c r="C279" s="9">
        <v>163.2329148554787</v>
      </c>
      <c r="D279" s="9">
        <v>100</v>
      </c>
      <c r="E279" s="9">
        <v>21.438473765153979</v>
      </c>
      <c r="F279" s="9">
        <v>41.794441090324717</v>
      </c>
      <c r="G279">
        <f t="shared" si="6"/>
        <v>1.9999999999999966E-2</v>
      </c>
    </row>
    <row r="280" spans="2:7" x14ac:dyDescent="0.2">
      <c r="B280" s="10">
        <v>230</v>
      </c>
      <c r="C280" s="9">
        <v>105.91187337573345</v>
      </c>
      <c r="D280" s="9">
        <v>100</v>
      </c>
      <c r="E280" s="9">
        <v>1.3761092472431455</v>
      </c>
      <c r="F280" s="9">
        <v>4.5357641284903041</v>
      </c>
      <c r="G280">
        <f t="shared" si="6"/>
        <v>1.9999999999999966E-2</v>
      </c>
    </row>
    <row r="281" spans="2:7" x14ac:dyDescent="0.2">
      <c r="B281" s="10">
        <v>231</v>
      </c>
      <c r="C281" s="9">
        <v>94.487828989590923</v>
      </c>
      <c r="D281" s="9">
        <v>75.590263191672733</v>
      </c>
      <c r="E281" s="9">
        <v>0</v>
      </c>
      <c r="F281" s="9">
        <v>0</v>
      </c>
      <c r="G281">
        <f t="shared" si="6"/>
        <v>-0.25984270485817546</v>
      </c>
    </row>
    <row r="282" spans="2:7" x14ac:dyDescent="0.2">
      <c r="B282" s="10">
        <v>232</v>
      </c>
      <c r="C282" s="9">
        <v>112.79207230171409</v>
      </c>
      <c r="D282" s="9">
        <v>100</v>
      </c>
      <c r="E282" s="9">
        <v>3.7841788713363682</v>
      </c>
      <c r="F282" s="9">
        <v>9.0078934303777167</v>
      </c>
      <c r="G282">
        <f t="shared" si="6"/>
        <v>1.9999999999999966E-2</v>
      </c>
    </row>
    <row r="283" spans="2:7" x14ac:dyDescent="0.2">
      <c r="B283" s="10">
        <v>233</v>
      </c>
      <c r="C283" s="9">
        <v>116.59920273505971</v>
      </c>
      <c r="D283" s="9">
        <v>100</v>
      </c>
      <c r="E283" s="9">
        <v>5.1166745230073349</v>
      </c>
      <c r="F283" s="9">
        <v>11.482528212052371</v>
      </c>
      <c r="G283">
        <f t="shared" si="6"/>
        <v>1.9999999999999966E-2</v>
      </c>
    </row>
    <row r="284" spans="2:7" x14ac:dyDescent="0.2">
      <c r="B284" s="10">
        <v>234</v>
      </c>
      <c r="C284" s="9">
        <v>104.53961867217112</v>
      </c>
      <c r="D284" s="9">
        <v>100</v>
      </c>
      <c r="E284" s="9">
        <v>0.89582010099632892</v>
      </c>
      <c r="F284" s="9">
        <v>3.6437985711747869</v>
      </c>
      <c r="G284">
        <f t="shared" si="6"/>
        <v>1.9999999999999966E-2</v>
      </c>
    </row>
    <row r="285" spans="2:7" x14ac:dyDescent="0.2">
      <c r="B285" s="10">
        <v>235</v>
      </c>
      <c r="C285" s="9">
        <v>99.289191275037865</v>
      </c>
      <c r="D285" s="9">
        <v>79.431353020030286</v>
      </c>
      <c r="E285" s="9">
        <v>0</v>
      </c>
      <c r="F285" s="9">
        <v>0</v>
      </c>
      <c r="G285">
        <f t="shared" si="6"/>
        <v>-0.21027702136965695</v>
      </c>
    </row>
    <row r="286" spans="2:7" x14ac:dyDescent="0.2">
      <c r="B286" s="10">
        <v>236</v>
      </c>
      <c r="C286" s="9">
        <v>111.59353864211607</v>
      </c>
      <c r="D286" s="9">
        <v>100</v>
      </c>
      <c r="E286" s="9">
        <v>3.3646920904770639</v>
      </c>
      <c r="F286" s="9">
        <v>8.228846551639009</v>
      </c>
      <c r="G286">
        <f t="shared" si="6"/>
        <v>1.9999999999999966E-2</v>
      </c>
    </row>
    <row r="287" spans="2:7" x14ac:dyDescent="0.2">
      <c r="B287" s="10">
        <v>237</v>
      </c>
      <c r="C287" s="9">
        <v>144.03591024205798</v>
      </c>
      <c r="D287" s="9">
        <v>100</v>
      </c>
      <c r="E287" s="9">
        <v>14.719522150456731</v>
      </c>
      <c r="F287" s="9">
        <v>29.316388091601247</v>
      </c>
      <c r="G287">
        <f t="shared" si="6"/>
        <v>1.9999999999999966E-2</v>
      </c>
    </row>
    <row r="288" spans="2:7" x14ac:dyDescent="0.2">
      <c r="B288" s="10">
        <v>238</v>
      </c>
      <c r="C288" s="9">
        <v>127.46638243821987</v>
      </c>
      <c r="D288" s="9">
        <v>100</v>
      </c>
      <c r="E288" s="9">
        <v>8.9201874191133914</v>
      </c>
      <c r="F288" s="9">
        <v>18.546195019106477</v>
      </c>
      <c r="G288">
        <f t="shared" si="6"/>
        <v>1.9999999999999966E-2</v>
      </c>
    </row>
    <row r="289" spans="2:7" x14ac:dyDescent="0.2">
      <c r="B289" s="10">
        <v>239</v>
      </c>
      <c r="C289" s="9">
        <v>105.83814036780828</v>
      </c>
      <c r="D289" s="9">
        <v>100</v>
      </c>
      <c r="E289" s="9">
        <v>1.3503026944693359</v>
      </c>
      <c r="F289" s="9">
        <v>4.4878376733389427</v>
      </c>
      <c r="G289">
        <f t="shared" si="6"/>
        <v>1.9999999999999966E-2</v>
      </c>
    </row>
    <row r="290" spans="2:7" x14ac:dyDescent="0.2">
      <c r="B290" s="10">
        <v>240</v>
      </c>
      <c r="C290" s="9">
        <v>51.489764924744861</v>
      </c>
      <c r="D290" s="9">
        <v>41.19181193979589</v>
      </c>
      <c r="E290" s="9">
        <v>0</v>
      </c>
      <c r="F290" s="9">
        <v>0</v>
      </c>
      <c r="G290">
        <f t="shared" si="6"/>
        <v>-0.86693068870922996</v>
      </c>
    </row>
    <row r="291" spans="2:7" x14ac:dyDescent="0.2">
      <c r="B291" s="10">
        <v>241</v>
      </c>
      <c r="C291" s="9">
        <v>158.39018589435875</v>
      </c>
      <c r="D291" s="9">
        <v>100</v>
      </c>
      <c r="E291" s="9">
        <v>19.743518628762001</v>
      </c>
      <c r="F291" s="9">
        <v>38.646667265596747</v>
      </c>
      <c r="G291">
        <f t="shared" si="6"/>
        <v>1.9999999999999966E-2</v>
      </c>
    </row>
    <row r="292" spans="2:7" x14ac:dyDescent="0.2">
      <c r="B292" s="10">
        <v>242</v>
      </c>
      <c r="C292" s="9">
        <v>100.55241684090663</v>
      </c>
      <c r="D292" s="9">
        <v>100</v>
      </c>
      <c r="E292" s="9">
        <v>-0.49970053994624092</v>
      </c>
      <c r="F292" s="9">
        <v>1.0521173808528714</v>
      </c>
      <c r="G292">
        <f t="shared" si="6"/>
        <v>1.9999999999999966E-2</v>
      </c>
    </row>
    <row r="293" spans="2:7" x14ac:dyDescent="0.2">
      <c r="B293" s="10">
        <v>243</v>
      </c>
      <c r="C293" s="9">
        <v>132.90984365799531</v>
      </c>
      <c r="D293" s="9">
        <v>100</v>
      </c>
      <c r="E293" s="9">
        <v>10.825398846034796</v>
      </c>
      <c r="F293" s="9">
        <v>22.084444811960516</v>
      </c>
      <c r="G293">
        <f t="shared" si="6"/>
        <v>1.9999999999999966E-2</v>
      </c>
    </row>
    <row r="294" spans="2:7" x14ac:dyDescent="0.2">
      <c r="B294" s="10">
        <v>244</v>
      </c>
      <c r="C294" s="9">
        <v>168.41562440689805</v>
      </c>
      <c r="D294" s="9">
        <v>100</v>
      </c>
      <c r="E294" s="9">
        <v>23.252422108150753</v>
      </c>
      <c r="F294" s="9">
        <v>45.163202298747294</v>
      </c>
      <c r="G294">
        <f t="shared" si="6"/>
        <v>1.9999999999999966E-2</v>
      </c>
    </row>
    <row r="295" spans="2:7" x14ac:dyDescent="0.2">
      <c r="B295" s="10">
        <v>245</v>
      </c>
      <c r="C295" s="9">
        <v>101.8250192480981</v>
      </c>
      <c r="D295" s="9">
        <v>100</v>
      </c>
      <c r="E295" s="9">
        <v>-5.428969742922618E-2</v>
      </c>
      <c r="F295" s="9">
        <v>1.8793089455273275</v>
      </c>
      <c r="G295">
        <f t="shared" si="6"/>
        <v>1.9999999999999966E-2</v>
      </c>
    </row>
    <row r="296" spans="2:7" x14ac:dyDescent="0.2">
      <c r="B296" s="10">
        <v>246</v>
      </c>
      <c r="C296" s="9">
        <v>115.03696569423911</v>
      </c>
      <c r="D296" s="9">
        <v>100</v>
      </c>
      <c r="E296" s="9">
        <v>4.5698915587201281</v>
      </c>
      <c r="F296" s="9">
        <v>10.467074135518986</v>
      </c>
      <c r="G296">
        <f t="shared" si="6"/>
        <v>1.9999999999999966E-2</v>
      </c>
    </row>
    <row r="297" spans="2:7" x14ac:dyDescent="0.2">
      <c r="B297" s="10">
        <v>247</v>
      </c>
      <c r="C297" s="9">
        <v>136.42275445001354</v>
      </c>
      <c r="D297" s="9">
        <v>100</v>
      </c>
      <c r="E297" s="9">
        <v>12.054917623241177</v>
      </c>
      <c r="F297" s="9">
        <v>24.367836826772365</v>
      </c>
      <c r="G297">
        <f t="shared" si="6"/>
        <v>1.9999999999999966E-2</v>
      </c>
    </row>
    <row r="298" spans="2:7" x14ac:dyDescent="0.2">
      <c r="B298" s="10">
        <v>248</v>
      </c>
      <c r="C298" s="9">
        <v>125.48576078961109</v>
      </c>
      <c r="D298" s="9">
        <v>100</v>
      </c>
      <c r="E298" s="9">
        <v>8.2269698421003206</v>
      </c>
      <c r="F298" s="9">
        <v>17.258790947510771</v>
      </c>
      <c r="G298">
        <f t="shared" si="6"/>
        <v>1.9999999999999966E-2</v>
      </c>
    </row>
    <row r="299" spans="2:7" x14ac:dyDescent="0.2">
      <c r="B299" s="10">
        <v>249</v>
      </c>
      <c r="C299" s="9">
        <v>88.424091773772474</v>
      </c>
      <c r="D299" s="9">
        <v>70.739273419017977</v>
      </c>
      <c r="E299" s="9">
        <v>0</v>
      </c>
      <c r="F299" s="9">
        <v>0</v>
      </c>
      <c r="G299">
        <f t="shared" si="6"/>
        <v>-0.32616927341111684</v>
      </c>
    </row>
    <row r="300" spans="2:7" x14ac:dyDescent="0.2">
      <c r="B300" s="10">
        <v>250</v>
      </c>
      <c r="C300" s="9">
        <v>130.29141836916017</v>
      </c>
      <c r="D300" s="9">
        <v>100</v>
      </c>
      <c r="E300" s="9">
        <v>9.9089499949424962</v>
      </c>
      <c r="F300" s="9">
        <v>20.382468374217673</v>
      </c>
      <c r="G300">
        <f t="shared" si="6"/>
        <v>1.9999999999999966E-2</v>
      </c>
    </row>
    <row r="301" spans="2:7" x14ac:dyDescent="0.2">
      <c r="B301" s="10">
        <v>251</v>
      </c>
      <c r="C301" s="9">
        <v>151.12287237904133</v>
      </c>
      <c r="D301" s="9">
        <v>100</v>
      </c>
      <c r="E301" s="9">
        <v>17.199958898400901</v>
      </c>
      <c r="F301" s="9">
        <v>33.922913480640425</v>
      </c>
      <c r="G301">
        <f t="shared" si="6"/>
        <v>1.9999999999999966E-2</v>
      </c>
    </row>
    <row r="302" spans="2:7" x14ac:dyDescent="0.2">
      <c r="B302" s="10">
        <v>252</v>
      </c>
      <c r="C302" s="9">
        <v>102.44604606207703</v>
      </c>
      <c r="D302" s="9">
        <v>100</v>
      </c>
      <c r="E302" s="9">
        <v>0.16306968746339903</v>
      </c>
      <c r="F302" s="9">
        <v>2.2829763746136313</v>
      </c>
      <c r="G302">
        <f t="shared" si="6"/>
        <v>1.9999999999999966E-2</v>
      </c>
    </row>
    <row r="303" spans="2:7" x14ac:dyDescent="0.2">
      <c r="B303" s="10">
        <v>253</v>
      </c>
      <c r="C303" s="9">
        <v>142.39410518685119</v>
      </c>
      <c r="D303" s="9">
        <v>100</v>
      </c>
      <c r="E303" s="9">
        <v>14.144890381134354</v>
      </c>
      <c r="F303" s="9">
        <v>28.249214805716839</v>
      </c>
      <c r="G303">
        <f t="shared" si="6"/>
        <v>1.9999999999999966E-2</v>
      </c>
    </row>
    <row r="304" spans="2:7" x14ac:dyDescent="0.2">
      <c r="B304" s="10">
        <v>254</v>
      </c>
      <c r="C304" s="9">
        <v>185.96039058651442</v>
      </c>
      <c r="D304" s="9">
        <v>100</v>
      </c>
      <c r="E304" s="9">
        <v>29.393090271016483</v>
      </c>
      <c r="F304" s="9">
        <v>56.567300315497938</v>
      </c>
      <c r="G304">
        <f t="shared" si="6"/>
        <v>1.9999999999999966E-2</v>
      </c>
    </row>
    <row r="305" spans="2:7" x14ac:dyDescent="0.2">
      <c r="B305" s="10">
        <v>255</v>
      </c>
      <c r="C305" s="9">
        <v>95.534235671876843</v>
      </c>
      <c r="D305" s="9">
        <v>76.427388537501471</v>
      </c>
      <c r="E305" s="9">
        <v>0</v>
      </c>
      <c r="F305" s="9">
        <v>0</v>
      </c>
      <c r="G305">
        <f t="shared" si="6"/>
        <v>-0.24882906534658936</v>
      </c>
    </row>
    <row r="306" spans="2:7" x14ac:dyDescent="0.2">
      <c r="B306" s="10">
        <v>256</v>
      </c>
      <c r="C306" s="9">
        <v>77.423570761944603</v>
      </c>
      <c r="D306" s="9">
        <v>61.938856609555685</v>
      </c>
      <c r="E306" s="9">
        <v>0</v>
      </c>
      <c r="F306" s="9">
        <v>0</v>
      </c>
      <c r="G306">
        <f t="shared" si="6"/>
        <v>-0.45902247125894907</v>
      </c>
    </row>
    <row r="307" spans="2:7" x14ac:dyDescent="0.2">
      <c r="B307" s="10">
        <v>257</v>
      </c>
      <c r="C307" s="9">
        <v>117.63669974162856</v>
      </c>
      <c r="D307" s="9">
        <v>100</v>
      </c>
      <c r="E307" s="9">
        <v>5.4797984753064348</v>
      </c>
      <c r="F307" s="9">
        <v>12.156901266322127</v>
      </c>
      <c r="G307">
        <f t="shared" ref="G307:G370" si="7">LN(D307/$C$7)</f>
        <v>1.9999999999999966E-2</v>
      </c>
    </row>
    <row r="308" spans="2:7" x14ac:dyDescent="0.2">
      <c r="B308" s="10">
        <v>258</v>
      </c>
      <c r="C308" s="9">
        <v>138.76921813506448</v>
      </c>
      <c r="D308" s="9">
        <v>100</v>
      </c>
      <c r="E308" s="9">
        <v>12.876179913009004</v>
      </c>
      <c r="F308" s="9">
        <v>25.893038222055473</v>
      </c>
      <c r="G308">
        <f t="shared" si="7"/>
        <v>1.9999999999999966E-2</v>
      </c>
    </row>
    <row r="309" spans="2:7" x14ac:dyDescent="0.2">
      <c r="B309" s="10">
        <v>259</v>
      </c>
      <c r="C309" s="9">
        <v>114.99561562011513</v>
      </c>
      <c r="D309" s="9">
        <v>100</v>
      </c>
      <c r="E309" s="9">
        <v>4.5554190327767339</v>
      </c>
      <c r="F309" s="9">
        <v>10.440196587338399</v>
      </c>
      <c r="G309">
        <f t="shared" si="7"/>
        <v>1.9999999999999966E-2</v>
      </c>
    </row>
    <row r="310" spans="2:7" x14ac:dyDescent="0.2">
      <c r="B310" s="10">
        <v>260</v>
      </c>
      <c r="C310" s="9">
        <v>157.55419035309146</v>
      </c>
      <c r="D310" s="9">
        <v>100</v>
      </c>
      <c r="E310" s="9">
        <v>19.450920189318445</v>
      </c>
      <c r="F310" s="9">
        <v>38.103270163773011</v>
      </c>
      <c r="G310">
        <f t="shared" si="7"/>
        <v>1.9999999999999966E-2</v>
      </c>
    </row>
    <row r="311" spans="2:7" x14ac:dyDescent="0.2">
      <c r="B311" s="10">
        <v>261</v>
      </c>
      <c r="C311" s="9">
        <v>92.214888239477588</v>
      </c>
      <c r="D311" s="9">
        <v>73.771910591582071</v>
      </c>
      <c r="E311" s="9">
        <v>0</v>
      </c>
      <c r="F311" s="9">
        <v>0</v>
      </c>
      <c r="G311">
        <f t="shared" si="7"/>
        <v>-0.28419214212426491</v>
      </c>
    </row>
    <row r="312" spans="2:7" x14ac:dyDescent="0.2">
      <c r="B312" s="10">
        <v>262</v>
      </c>
      <c r="C312" s="9">
        <v>76.628085410118686</v>
      </c>
      <c r="D312" s="9">
        <v>61.302468328094946</v>
      </c>
      <c r="E312" s="9">
        <v>0</v>
      </c>
      <c r="F312" s="9">
        <v>0</v>
      </c>
      <c r="G312">
        <f t="shared" si="7"/>
        <v>-0.4693500774928917</v>
      </c>
    </row>
    <row r="313" spans="2:7" x14ac:dyDescent="0.2">
      <c r="B313" s="10">
        <v>263</v>
      </c>
      <c r="C313" s="9">
        <v>67.378769913448679</v>
      </c>
      <c r="D313" s="9">
        <v>53.90301593075894</v>
      </c>
      <c r="E313" s="9">
        <v>0</v>
      </c>
      <c r="F313" s="9">
        <v>0</v>
      </c>
      <c r="G313">
        <f t="shared" si="7"/>
        <v>-0.59798375545003957</v>
      </c>
    </row>
    <row r="314" spans="2:7" x14ac:dyDescent="0.2">
      <c r="B314" s="10">
        <v>264</v>
      </c>
      <c r="C314" s="9">
        <v>80.018553933948667</v>
      </c>
      <c r="D314" s="9">
        <v>64.014843147158928</v>
      </c>
      <c r="E314" s="9">
        <v>0</v>
      </c>
      <c r="F314" s="9">
        <v>0</v>
      </c>
      <c r="G314">
        <f t="shared" si="7"/>
        <v>-0.42605520534431518</v>
      </c>
    </row>
    <row r="315" spans="2:7" x14ac:dyDescent="0.2">
      <c r="B315" s="10">
        <v>265</v>
      </c>
      <c r="C315" s="9">
        <v>116.22040608433282</v>
      </c>
      <c r="D315" s="9">
        <v>100</v>
      </c>
      <c r="E315" s="9">
        <v>4.9840956952529254</v>
      </c>
      <c r="F315" s="9">
        <v>11.236310389079897</v>
      </c>
      <c r="G315">
        <f t="shared" si="7"/>
        <v>1.9999999999999966E-2</v>
      </c>
    </row>
    <row r="316" spans="2:7" x14ac:dyDescent="0.2">
      <c r="B316" s="10">
        <v>266</v>
      </c>
      <c r="C316" s="9">
        <v>140.43634821569461</v>
      </c>
      <c r="D316" s="9">
        <v>100</v>
      </c>
      <c r="E316" s="9">
        <v>13.45967544122955</v>
      </c>
      <c r="F316" s="9">
        <v>26.976672774465058</v>
      </c>
      <c r="G316">
        <f t="shared" si="7"/>
        <v>1.9999999999999966E-2</v>
      </c>
    </row>
    <row r="317" spans="2:7" x14ac:dyDescent="0.2">
      <c r="B317" s="10">
        <v>267</v>
      </c>
      <c r="C317" s="9">
        <v>143.84875880848179</v>
      </c>
      <c r="D317" s="9">
        <v>100</v>
      </c>
      <c r="E317" s="9">
        <v>14.654019148705064</v>
      </c>
      <c r="F317" s="9">
        <v>29.194739659776726</v>
      </c>
      <c r="G317">
        <f t="shared" si="7"/>
        <v>1.9999999999999966E-2</v>
      </c>
    </row>
    <row r="318" spans="2:7" x14ac:dyDescent="0.2">
      <c r="B318" s="10">
        <v>268</v>
      </c>
      <c r="C318" s="9">
        <v>138.07752837378575</v>
      </c>
      <c r="D318" s="9">
        <v>100</v>
      </c>
      <c r="E318" s="9">
        <v>12.634088496561452</v>
      </c>
      <c r="F318" s="9">
        <v>25.4434398772243</v>
      </c>
      <c r="G318">
        <f t="shared" si="7"/>
        <v>1.9999999999999966E-2</v>
      </c>
    </row>
    <row r="319" spans="2:7" x14ac:dyDescent="0.2">
      <c r="B319" s="10">
        <v>269</v>
      </c>
      <c r="C319" s="9">
        <v>103.31976645168277</v>
      </c>
      <c r="D319" s="9">
        <v>100</v>
      </c>
      <c r="E319" s="9">
        <v>0.46887182382540682</v>
      </c>
      <c r="F319" s="9">
        <v>2.8508946278573601</v>
      </c>
      <c r="G319">
        <f t="shared" si="7"/>
        <v>1.9999999999999966E-2</v>
      </c>
    </row>
    <row r="320" spans="2:7" x14ac:dyDescent="0.2">
      <c r="B320" s="10">
        <v>270</v>
      </c>
      <c r="C320" s="9">
        <v>143.94953420091531</v>
      </c>
      <c r="D320" s="9">
        <v>100</v>
      </c>
      <c r="E320" s="9">
        <v>14.689290536056795</v>
      </c>
      <c r="F320" s="9">
        <v>29.260243664858514</v>
      </c>
      <c r="G320">
        <f t="shared" si="7"/>
        <v>1.9999999999999966E-2</v>
      </c>
    </row>
    <row r="321" spans="2:7" x14ac:dyDescent="0.2">
      <c r="B321" s="10">
        <v>271</v>
      </c>
      <c r="C321" s="9">
        <v>161.23831984725385</v>
      </c>
      <c r="D321" s="9">
        <v>100</v>
      </c>
      <c r="E321" s="9">
        <v>20.740365512275282</v>
      </c>
      <c r="F321" s="9">
        <v>40.497954334978566</v>
      </c>
      <c r="G321">
        <f t="shared" si="7"/>
        <v>1.9999999999999966E-2</v>
      </c>
    </row>
    <row r="322" spans="2:7" x14ac:dyDescent="0.2">
      <c r="B322" s="10">
        <v>272</v>
      </c>
      <c r="C322" s="9">
        <v>92.748901530156473</v>
      </c>
      <c r="D322" s="9">
        <v>74.199121224125179</v>
      </c>
      <c r="E322" s="9">
        <v>0</v>
      </c>
      <c r="F322" s="9">
        <v>0</v>
      </c>
      <c r="G322">
        <f t="shared" si="7"/>
        <v>-0.27841787922552058</v>
      </c>
    </row>
    <row r="323" spans="2:7" x14ac:dyDescent="0.2">
      <c r="B323" s="10">
        <v>273</v>
      </c>
      <c r="C323" s="9">
        <v>128.01864401219714</v>
      </c>
      <c r="D323" s="9">
        <v>100</v>
      </c>
      <c r="E323" s="9">
        <v>9.1134789700054384</v>
      </c>
      <c r="F323" s="9">
        <v>18.905165042191705</v>
      </c>
      <c r="G323">
        <f t="shared" si="7"/>
        <v>1.9999999999999966E-2</v>
      </c>
    </row>
    <row r="324" spans="2:7" x14ac:dyDescent="0.2">
      <c r="B324" s="10">
        <v>274</v>
      </c>
      <c r="C324" s="9">
        <v>122.46097952621591</v>
      </c>
      <c r="D324" s="9">
        <v>100</v>
      </c>
      <c r="E324" s="9">
        <v>7.1682963999120055</v>
      </c>
      <c r="F324" s="9">
        <v>15.292683126303903</v>
      </c>
      <c r="G324">
        <f t="shared" si="7"/>
        <v>1.9999999999999966E-2</v>
      </c>
    </row>
    <row r="325" spans="2:7" x14ac:dyDescent="0.2">
      <c r="B325" s="10">
        <v>275</v>
      </c>
      <c r="C325" s="9">
        <v>166.85508633045688</v>
      </c>
      <c r="D325" s="9">
        <v>100</v>
      </c>
      <c r="E325" s="9">
        <v>22.706233781396346</v>
      </c>
      <c r="F325" s="9">
        <v>44.148852549060535</v>
      </c>
      <c r="G325">
        <f t="shared" si="7"/>
        <v>1.9999999999999966E-2</v>
      </c>
    </row>
    <row r="326" spans="2:7" x14ac:dyDescent="0.2">
      <c r="B326" s="10">
        <v>276</v>
      </c>
      <c r="C326" s="9">
        <v>73.493244490367999</v>
      </c>
      <c r="D326" s="9">
        <v>58.794595592294399</v>
      </c>
      <c r="E326" s="9">
        <v>0</v>
      </c>
      <c r="F326" s="9">
        <v>0</v>
      </c>
      <c r="G326">
        <f t="shared" si="7"/>
        <v>-0.51112024700332237</v>
      </c>
    </row>
    <row r="327" spans="2:7" x14ac:dyDescent="0.2">
      <c r="B327" s="10">
        <v>277</v>
      </c>
      <c r="C327" s="9">
        <v>92.589795511545617</v>
      </c>
      <c r="D327" s="9">
        <v>74.071836409236496</v>
      </c>
      <c r="E327" s="9">
        <v>0</v>
      </c>
      <c r="F327" s="9">
        <v>0</v>
      </c>
      <c r="G327">
        <f t="shared" si="7"/>
        <v>-0.28013480138193059</v>
      </c>
    </row>
    <row r="328" spans="2:7" x14ac:dyDescent="0.2">
      <c r="B328" s="10">
        <v>278</v>
      </c>
      <c r="C328" s="9">
        <v>93.35413176087738</v>
      </c>
      <c r="D328" s="9">
        <v>74.683305408701898</v>
      </c>
      <c r="E328" s="9">
        <v>0</v>
      </c>
      <c r="F328" s="9">
        <v>0</v>
      </c>
      <c r="G328">
        <f t="shared" si="7"/>
        <v>-0.27191360733125719</v>
      </c>
    </row>
    <row r="329" spans="2:7" x14ac:dyDescent="0.2">
      <c r="B329" s="10">
        <v>279</v>
      </c>
      <c r="C329" s="9">
        <v>220.80604520972736</v>
      </c>
      <c r="D329" s="9">
        <v>100</v>
      </c>
      <c r="E329" s="9">
        <v>41.589069389141009</v>
      </c>
      <c r="F329" s="9">
        <v>79.216975820586356</v>
      </c>
      <c r="G329">
        <f t="shared" si="7"/>
        <v>1.9999999999999966E-2</v>
      </c>
    </row>
    <row r="330" spans="2:7" x14ac:dyDescent="0.2">
      <c r="B330" s="10">
        <v>280</v>
      </c>
      <c r="C330" s="9">
        <v>111.24665342891493</v>
      </c>
      <c r="D330" s="9">
        <v>100</v>
      </c>
      <c r="E330" s="9">
        <v>3.2432822658566618</v>
      </c>
      <c r="F330" s="9">
        <v>8.0033711630582633</v>
      </c>
      <c r="G330">
        <f t="shared" si="7"/>
        <v>1.9999999999999966E-2</v>
      </c>
    </row>
    <row r="331" spans="2:7" x14ac:dyDescent="0.2">
      <c r="B331" s="10">
        <v>281</v>
      </c>
      <c r="C331" s="9">
        <v>117.52114254899475</v>
      </c>
      <c r="D331" s="9">
        <v>100</v>
      </c>
      <c r="E331" s="9">
        <v>5.4393534578845992</v>
      </c>
      <c r="F331" s="9">
        <v>12.081789091110146</v>
      </c>
      <c r="G331">
        <f t="shared" si="7"/>
        <v>1.9999999999999966E-2</v>
      </c>
    </row>
    <row r="332" spans="2:7" x14ac:dyDescent="0.2">
      <c r="B332" s="10">
        <v>282</v>
      </c>
      <c r="C332" s="9">
        <v>179.42234538459664</v>
      </c>
      <c r="D332" s="9">
        <v>100</v>
      </c>
      <c r="E332" s="9">
        <v>27.104774450345261</v>
      </c>
      <c r="F332" s="9">
        <v>52.317570934251378</v>
      </c>
      <c r="G332">
        <f t="shared" si="7"/>
        <v>1.9999999999999966E-2</v>
      </c>
    </row>
    <row r="333" spans="2:7" x14ac:dyDescent="0.2">
      <c r="B333" s="10">
        <v>283</v>
      </c>
      <c r="C333" s="9">
        <v>185.46186752590251</v>
      </c>
      <c r="D333" s="9">
        <v>100</v>
      </c>
      <c r="E333" s="9">
        <v>29.218607199802314</v>
      </c>
      <c r="F333" s="9">
        <v>56.243260326100192</v>
      </c>
      <c r="G333">
        <f t="shared" si="7"/>
        <v>1.9999999999999966E-2</v>
      </c>
    </row>
    <row r="334" spans="2:7" x14ac:dyDescent="0.2">
      <c r="B334" s="10">
        <v>284</v>
      </c>
      <c r="C334" s="9">
        <v>160.49131500157179</v>
      </c>
      <c r="D334" s="9">
        <v>100</v>
      </c>
      <c r="E334" s="9">
        <v>20.478913816286564</v>
      </c>
      <c r="F334" s="9">
        <v>40.012401185285228</v>
      </c>
      <c r="G334">
        <f t="shared" si="7"/>
        <v>1.9999999999999966E-2</v>
      </c>
    </row>
    <row r="335" spans="2:7" x14ac:dyDescent="0.2">
      <c r="B335" s="10">
        <v>285</v>
      </c>
      <c r="C335" s="9">
        <v>121.47161905399162</v>
      </c>
      <c r="D335" s="9">
        <v>100</v>
      </c>
      <c r="E335" s="9">
        <v>6.8220202346335039</v>
      </c>
      <c r="F335" s="9">
        <v>14.649598819358113</v>
      </c>
      <c r="G335">
        <f t="shared" si="7"/>
        <v>1.9999999999999966E-2</v>
      </c>
    </row>
    <row r="336" spans="2:7" x14ac:dyDescent="0.2">
      <c r="B336" s="10">
        <v>286</v>
      </c>
      <c r="C336" s="9">
        <v>136.87761008882393</v>
      </c>
      <c r="D336" s="9">
        <v>100</v>
      </c>
      <c r="E336" s="9">
        <v>12.214117096824813</v>
      </c>
      <c r="F336" s="9">
        <v>24.663492991999114</v>
      </c>
      <c r="G336">
        <f t="shared" si="7"/>
        <v>1.9999999999999966E-2</v>
      </c>
    </row>
    <row r="337" spans="2:7" x14ac:dyDescent="0.2">
      <c r="B337" s="10">
        <v>287</v>
      </c>
      <c r="C337" s="9">
        <v>188.59489281140466</v>
      </c>
      <c r="D337" s="9">
        <v>100</v>
      </c>
      <c r="E337" s="9">
        <v>30.315166049728067</v>
      </c>
      <c r="F337" s="9">
        <v>58.279726761676599</v>
      </c>
      <c r="G337">
        <f t="shared" si="7"/>
        <v>1.9999999999999966E-2</v>
      </c>
    </row>
    <row r="338" spans="2:7" x14ac:dyDescent="0.2">
      <c r="B338" s="10">
        <v>288</v>
      </c>
      <c r="C338" s="9">
        <v>128.93823279453702</v>
      </c>
      <c r="D338" s="9">
        <v>100</v>
      </c>
      <c r="E338" s="9">
        <v>9.4353350438243933</v>
      </c>
      <c r="F338" s="9">
        <v>19.50289775071262</v>
      </c>
      <c r="G338">
        <f t="shared" si="7"/>
        <v>1.9999999999999966E-2</v>
      </c>
    </row>
    <row r="339" spans="2:7" x14ac:dyDescent="0.2">
      <c r="B339" s="10">
        <v>289</v>
      </c>
      <c r="C339" s="9">
        <v>77.005019474447352</v>
      </c>
      <c r="D339" s="9">
        <v>61.604015579557881</v>
      </c>
      <c r="E339" s="9">
        <v>0</v>
      </c>
      <c r="F339" s="9">
        <v>0</v>
      </c>
      <c r="G339">
        <f t="shared" si="7"/>
        <v>-0.46444312959342565</v>
      </c>
    </row>
    <row r="340" spans="2:7" x14ac:dyDescent="0.2">
      <c r="B340" s="10">
        <v>290</v>
      </c>
      <c r="C340" s="9">
        <v>99.89542838374615</v>
      </c>
      <c r="D340" s="9">
        <v>79.916342706996915</v>
      </c>
      <c r="E340" s="9">
        <v>0</v>
      </c>
      <c r="F340" s="9">
        <v>0</v>
      </c>
      <c r="G340">
        <f t="shared" si="7"/>
        <v>-0.2041898146193652</v>
      </c>
    </row>
    <row r="341" spans="2:7" x14ac:dyDescent="0.2">
      <c r="B341" s="10">
        <v>291</v>
      </c>
      <c r="C341" s="9">
        <v>126.85272373354357</v>
      </c>
      <c r="D341" s="9">
        <v>100</v>
      </c>
      <c r="E341" s="9">
        <v>8.7054068724766864</v>
      </c>
      <c r="F341" s="9">
        <v>18.147316861066884</v>
      </c>
      <c r="G341">
        <f t="shared" si="7"/>
        <v>1.9999999999999966E-2</v>
      </c>
    </row>
    <row r="342" spans="2:7" x14ac:dyDescent="0.2">
      <c r="B342" s="10">
        <v>292</v>
      </c>
      <c r="C342" s="9">
        <v>129.69345084642424</v>
      </c>
      <c r="D342" s="9">
        <v>100</v>
      </c>
      <c r="E342" s="9">
        <v>9.6996613619849228</v>
      </c>
      <c r="F342" s="9">
        <v>19.993789484439318</v>
      </c>
      <c r="G342">
        <f t="shared" si="7"/>
        <v>1.9999999999999966E-2</v>
      </c>
    </row>
    <row r="343" spans="2:7" x14ac:dyDescent="0.2">
      <c r="B343" s="10">
        <v>293</v>
      </c>
      <c r="C343" s="9">
        <v>115.23179045838646</v>
      </c>
      <c r="D343" s="9">
        <v>100</v>
      </c>
      <c r="E343" s="9">
        <v>4.6380802261716978</v>
      </c>
      <c r="F343" s="9">
        <v>10.593710232214757</v>
      </c>
      <c r="G343">
        <f t="shared" si="7"/>
        <v>1.9999999999999966E-2</v>
      </c>
    </row>
    <row r="344" spans="2:7" x14ac:dyDescent="0.2">
      <c r="B344" s="10">
        <v>294</v>
      </c>
      <c r="C344" s="9">
        <v>72.680730866958172</v>
      </c>
      <c r="D344" s="9">
        <v>58.144584693566536</v>
      </c>
      <c r="E344" s="9">
        <v>0</v>
      </c>
      <c r="F344" s="9">
        <v>0</v>
      </c>
      <c r="G344">
        <f t="shared" si="7"/>
        <v>-0.5222374378678446</v>
      </c>
    </row>
    <row r="345" spans="2:7" x14ac:dyDescent="0.2">
      <c r="B345" s="10">
        <v>295</v>
      </c>
      <c r="C345" s="9">
        <v>103.19605313941835</v>
      </c>
      <c r="D345" s="9">
        <v>100</v>
      </c>
      <c r="E345" s="9">
        <v>0.42557216453286201</v>
      </c>
      <c r="F345" s="9">
        <v>2.7704809748854915</v>
      </c>
      <c r="G345">
        <f t="shared" si="7"/>
        <v>1.9999999999999966E-2</v>
      </c>
    </row>
    <row r="346" spans="2:7" x14ac:dyDescent="0.2">
      <c r="B346" s="10">
        <v>296</v>
      </c>
      <c r="C346" s="9">
        <v>143.02332983053361</v>
      </c>
      <c r="D346" s="9">
        <v>100</v>
      </c>
      <c r="E346" s="9">
        <v>14.365119006423201</v>
      </c>
      <c r="F346" s="9">
        <v>28.658210824110412</v>
      </c>
      <c r="G346">
        <f t="shared" si="7"/>
        <v>1.9999999999999966E-2</v>
      </c>
    </row>
    <row r="347" spans="2:7" x14ac:dyDescent="0.2">
      <c r="B347" s="10">
        <v>297</v>
      </c>
      <c r="C347" s="9">
        <v>101.24610781281956</v>
      </c>
      <c r="D347" s="9">
        <v>100</v>
      </c>
      <c r="E347" s="9">
        <v>-0.25690869977671582</v>
      </c>
      <c r="F347" s="9">
        <v>1.5030165125962753</v>
      </c>
      <c r="G347">
        <f t="shared" si="7"/>
        <v>1.9999999999999966E-2</v>
      </c>
    </row>
    <row r="348" spans="2:7" x14ac:dyDescent="0.2">
      <c r="B348" s="10">
        <v>298</v>
      </c>
      <c r="C348" s="9">
        <v>99.940756228103794</v>
      </c>
      <c r="D348" s="9">
        <v>79.952604982483038</v>
      </c>
      <c r="E348" s="9">
        <v>0</v>
      </c>
      <c r="F348" s="9">
        <v>0</v>
      </c>
      <c r="G348">
        <f t="shared" si="7"/>
        <v>-0.20373616459373989</v>
      </c>
    </row>
    <row r="349" spans="2:7" x14ac:dyDescent="0.2">
      <c r="B349" s="10">
        <v>299</v>
      </c>
      <c r="C349" s="9">
        <v>77.253334404575241</v>
      </c>
      <c r="D349" s="9">
        <v>61.80266752366019</v>
      </c>
      <c r="E349" s="9">
        <v>0</v>
      </c>
      <c r="F349" s="9">
        <v>0</v>
      </c>
      <c r="G349">
        <f t="shared" si="7"/>
        <v>-0.4612236586427052</v>
      </c>
    </row>
    <row r="350" spans="2:7" x14ac:dyDescent="0.2">
      <c r="B350" s="10">
        <v>300</v>
      </c>
      <c r="C350" s="9">
        <v>92.639261210860397</v>
      </c>
      <c r="D350" s="9">
        <v>74.111408968688323</v>
      </c>
      <c r="E350" s="9">
        <v>0</v>
      </c>
      <c r="F350" s="9">
        <v>0</v>
      </c>
      <c r="G350">
        <f t="shared" si="7"/>
        <v>-0.27960069834900503</v>
      </c>
    </row>
    <row r="351" spans="2:7" x14ac:dyDescent="0.2">
      <c r="B351" s="10">
        <v>301</v>
      </c>
      <c r="C351" s="9">
        <v>95.576557667439303</v>
      </c>
      <c r="D351" s="9">
        <v>76.461246133951448</v>
      </c>
      <c r="E351" s="9">
        <v>0</v>
      </c>
      <c r="F351" s="9">
        <v>0</v>
      </c>
      <c r="G351">
        <f t="shared" si="7"/>
        <v>-0.24838615999818073</v>
      </c>
    </row>
    <row r="352" spans="2:7" x14ac:dyDescent="0.2">
      <c r="B352" s="10">
        <v>302</v>
      </c>
      <c r="C352" s="9">
        <v>155.26598152256628</v>
      </c>
      <c r="D352" s="9">
        <v>100</v>
      </c>
      <c r="E352" s="9">
        <v>18.650047098634634</v>
      </c>
      <c r="F352" s="9">
        <v>36.615934423931648</v>
      </c>
      <c r="G352">
        <f t="shared" si="7"/>
        <v>1.9999999999999966E-2</v>
      </c>
    </row>
    <row r="353" spans="2:7" x14ac:dyDescent="0.2">
      <c r="B353" s="10">
        <v>303</v>
      </c>
      <c r="C353" s="9">
        <v>120.4326592433264</v>
      </c>
      <c r="D353" s="9">
        <v>100</v>
      </c>
      <c r="E353" s="9">
        <v>6.4583843009006774</v>
      </c>
      <c r="F353" s="9">
        <v>13.974274942425721</v>
      </c>
      <c r="G353">
        <f t="shared" si="7"/>
        <v>1.9999999999999966E-2</v>
      </c>
    </row>
    <row r="354" spans="2:7" x14ac:dyDescent="0.2">
      <c r="B354" s="10">
        <v>304</v>
      </c>
      <c r="C354" s="9">
        <v>145.24384206769855</v>
      </c>
      <c r="D354" s="9">
        <v>100</v>
      </c>
      <c r="E354" s="9">
        <v>15.142298289430931</v>
      </c>
      <c r="F354" s="9">
        <v>30.101543778267619</v>
      </c>
      <c r="G354">
        <f t="shared" si="7"/>
        <v>1.9999999999999966E-2</v>
      </c>
    </row>
    <row r="355" spans="2:7" x14ac:dyDescent="0.2">
      <c r="B355" s="10">
        <v>305</v>
      </c>
      <c r="C355" s="9">
        <v>92.109724245166674</v>
      </c>
      <c r="D355" s="9">
        <v>73.687779396133337</v>
      </c>
      <c r="E355" s="9">
        <v>0</v>
      </c>
      <c r="F355" s="9">
        <v>0</v>
      </c>
      <c r="G355">
        <f t="shared" si="7"/>
        <v>-0.28533321606229267</v>
      </c>
    </row>
    <row r="356" spans="2:7" x14ac:dyDescent="0.2">
      <c r="B356" s="10">
        <v>306</v>
      </c>
      <c r="C356" s="9">
        <v>142.07896182237164</v>
      </c>
      <c r="D356" s="9">
        <v>100</v>
      </c>
      <c r="E356" s="9">
        <v>14.034590203566511</v>
      </c>
      <c r="F356" s="9">
        <v>28.04437161880513</v>
      </c>
      <c r="G356">
        <f t="shared" si="7"/>
        <v>1.9999999999999966E-2</v>
      </c>
    </row>
    <row r="357" spans="2:7" x14ac:dyDescent="0.2">
      <c r="B357" s="10">
        <v>307</v>
      </c>
      <c r="C357" s="9">
        <v>122.26068252646036</v>
      </c>
      <c r="D357" s="9">
        <v>100</v>
      </c>
      <c r="E357" s="9">
        <v>7.0981924499975628</v>
      </c>
      <c r="F357" s="9">
        <v>15.162490076462795</v>
      </c>
      <c r="G357">
        <f t="shared" si="7"/>
        <v>1.9999999999999966E-2</v>
      </c>
    </row>
    <row r="358" spans="2:7" x14ac:dyDescent="0.2">
      <c r="B358" s="10">
        <v>308</v>
      </c>
      <c r="C358" s="9">
        <v>151.23477711704624</v>
      </c>
      <c r="D358" s="9">
        <v>100</v>
      </c>
      <c r="E358" s="9">
        <v>17.239125556702618</v>
      </c>
      <c r="F358" s="9">
        <v>33.995651560343617</v>
      </c>
      <c r="G358">
        <f t="shared" si="7"/>
        <v>1.9999999999999966E-2</v>
      </c>
    </row>
    <row r="359" spans="2:7" x14ac:dyDescent="0.2">
      <c r="B359" s="10">
        <v>309</v>
      </c>
      <c r="C359" s="9">
        <v>158.91522437569324</v>
      </c>
      <c r="D359" s="9">
        <v>100</v>
      </c>
      <c r="E359" s="9">
        <v>19.927282097229071</v>
      </c>
      <c r="F359" s="9">
        <v>38.987942278464175</v>
      </c>
      <c r="G359">
        <f t="shared" si="7"/>
        <v>1.9999999999999966E-2</v>
      </c>
    </row>
    <row r="360" spans="2:7" x14ac:dyDescent="0.2">
      <c r="B360" s="10">
        <v>310</v>
      </c>
      <c r="C360" s="9">
        <v>98.597469987363311</v>
      </c>
      <c r="D360" s="9">
        <v>78.877975989890643</v>
      </c>
      <c r="E360" s="9">
        <v>0</v>
      </c>
      <c r="F360" s="9">
        <v>0</v>
      </c>
      <c r="G360">
        <f t="shared" si="7"/>
        <v>-0.21726813538028858</v>
      </c>
    </row>
    <row r="361" spans="2:7" x14ac:dyDescent="0.2">
      <c r="B361" s="10">
        <v>311</v>
      </c>
      <c r="C361" s="9">
        <v>173.93377897360796</v>
      </c>
      <c r="D361" s="9">
        <v>100</v>
      </c>
      <c r="E361" s="9">
        <v>25.183776206499221</v>
      </c>
      <c r="F361" s="9">
        <v>48.750002767108739</v>
      </c>
      <c r="G361">
        <f t="shared" si="7"/>
        <v>1.9999999999999966E-2</v>
      </c>
    </row>
    <row r="362" spans="2:7" x14ac:dyDescent="0.2">
      <c r="B362" s="10">
        <v>312</v>
      </c>
      <c r="C362" s="9">
        <v>222.84972586328342</v>
      </c>
      <c r="D362" s="9">
        <v>100</v>
      </c>
      <c r="E362" s="9">
        <v>42.304357617885636</v>
      </c>
      <c r="F362" s="9">
        <v>80.545368245397782</v>
      </c>
      <c r="G362">
        <f t="shared" si="7"/>
        <v>1.9999999999999966E-2</v>
      </c>
    </row>
    <row r="363" spans="2:7" x14ac:dyDescent="0.2">
      <c r="B363" s="10">
        <v>313</v>
      </c>
      <c r="C363" s="9">
        <v>89.516619439932853</v>
      </c>
      <c r="D363" s="9">
        <v>71.61329555194628</v>
      </c>
      <c r="E363" s="9">
        <v>0</v>
      </c>
      <c r="F363" s="9">
        <v>0</v>
      </c>
      <c r="G363">
        <f t="shared" si="7"/>
        <v>-0.31388943719384038</v>
      </c>
    </row>
    <row r="364" spans="2:7" x14ac:dyDescent="0.2">
      <c r="B364" s="10">
        <v>314</v>
      </c>
      <c r="C364" s="9">
        <v>69.109011933029123</v>
      </c>
      <c r="D364" s="9">
        <v>55.287209546423298</v>
      </c>
      <c r="E364" s="9">
        <v>0</v>
      </c>
      <c r="F364" s="9">
        <v>0</v>
      </c>
      <c r="G364">
        <f t="shared" si="7"/>
        <v>-0.57262859632002494</v>
      </c>
    </row>
    <row r="365" spans="2:7" x14ac:dyDescent="0.2">
      <c r="B365" s="10">
        <v>315</v>
      </c>
      <c r="C365" s="9">
        <v>130.53747908565654</v>
      </c>
      <c r="D365" s="9">
        <v>100</v>
      </c>
      <c r="E365" s="9">
        <v>9.9950712457162272</v>
      </c>
      <c r="F365" s="9">
        <v>20.542407839940317</v>
      </c>
      <c r="G365">
        <f t="shared" si="7"/>
        <v>1.9999999999999966E-2</v>
      </c>
    </row>
    <row r="366" spans="2:7" x14ac:dyDescent="0.2">
      <c r="B366" s="10">
        <v>316</v>
      </c>
      <c r="C366" s="9">
        <v>120.85084470353344</v>
      </c>
      <c r="D366" s="9">
        <v>100</v>
      </c>
      <c r="E366" s="9">
        <v>6.6047492119731421</v>
      </c>
      <c r="F366" s="9">
        <v>14.246095491560297</v>
      </c>
      <c r="G366">
        <f t="shared" si="7"/>
        <v>1.9999999999999966E-2</v>
      </c>
    </row>
    <row r="367" spans="2:7" x14ac:dyDescent="0.2">
      <c r="B367" s="10">
        <v>317</v>
      </c>
      <c r="C367" s="9">
        <v>96.28533953050092</v>
      </c>
      <c r="D367" s="9">
        <v>77.02827162440073</v>
      </c>
      <c r="E367" s="9">
        <v>0</v>
      </c>
      <c r="F367" s="9">
        <v>0</v>
      </c>
      <c r="G367">
        <f t="shared" si="7"/>
        <v>-0.24099766756934113</v>
      </c>
    </row>
    <row r="368" spans="2:7" x14ac:dyDescent="0.2">
      <c r="B368" s="10">
        <v>318</v>
      </c>
      <c r="C368" s="9">
        <v>133.43642994849043</v>
      </c>
      <c r="D368" s="9">
        <v>100</v>
      </c>
      <c r="E368" s="9">
        <v>11.009704047708087</v>
      </c>
      <c r="F368" s="9">
        <v>22.426725900782341</v>
      </c>
      <c r="G368">
        <f t="shared" si="7"/>
        <v>1.9999999999999966E-2</v>
      </c>
    </row>
    <row r="369" spans="2:7" x14ac:dyDescent="0.2">
      <c r="B369" s="10">
        <v>319</v>
      </c>
      <c r="C369" s="9">
        <v>96.04857271770355</v>
      </c>
      <c r="D369" s="9">
        <v>76.838858174162837</v>
      </c>
      <c r="E369" s="9">
        <v>0</v>
      </c>
      <c r="F369" s="9">
        <v>0</v>
      </c>
      <c r="G369">
        <f t="shared" si="7"/>
        <v>-0.24345970798259359</v>
      </c>
    </row>
    <row r="370" spans="2:7" x14ac:dyDescent="0.2">
      <c r="B370" s="10">
        <v>320</v>
      </c>
      <c r="C370" s="9">
        <v>99.33529455766886</v>
      </c>
      <c r="D370" s="9">
        <v>79.468235646135085</v>
      </c>
      <c r="E370" s="9">
        <v>0</v>
      </c>
      <c r="F370" s="9">
        <v>0</v>
      </c>
      <c r="G370">
        <f t="shared" si="7"/>
        <v>-0.20981279579076451</v>
      </c>
    </row>
    <row r="371" spans="2:7" x14ac:dyDescent="0.2">
      <c r="B371" s="10">
        <v>321</v>
      </c>
      <c r="C371" s="9">
        <v>175.65305357237415</v>
      </c>
      <c r="D371" s="9">
        <v>100</v>
      </c>
      <c r="E371" s="9">
        <v>25.785522316067389</v>
      </c>
      <c r="F371" s="9">
        <v>49.867531256306762</v>
      </c>
      <c r="G371">
        <f t="shared" ref="G371:G434" si="8">LN(D371/$C$7)</f>
        <v>1.9999999999999966E-2</v>
      </c>
    </row>
    <row r="372" spans="2:7" x14ac:dyDescent="0.2">
      <c r="B372" s="10">
        <v>322</v>
      </c>
      <c r="C372" s="9">
        <v>82.804261958066945</v>
      </c>
      <c r="D372" s="9">
        <v>66.24340956645355</v>
      </c>
      <c r="E372" s="9">
        <v>0</v>
      </c>
      <c r="F372" s="9">
        <v>0</v>
      </c>
      <c r="G372">
        <f t="shared" si="8"/>
        <v>-0.3918342043122589</v>
      </c>
    </row>
    <row r="373" spans="2:7" x14ac:dyDescent="0.2">
      <c r="B373" s="10">
        <v>323</v>
      </c>
      <c r="C373" s="9">
        <v>97.865600821045305</v>
      </c>
      <c r="D373" s="9">
        <v>78.292480656836247</v>
      </c>
      <c r="E373" s="9">
        <v>0</v>
      </c>
      <c r="F373" s="9">
        <v>0</v>
      </c>
      <c r="G373">
        <f t="shared" si="8"/>
        <v>-0.22471862008248925</v>
      </c>
    </row>
    <row r="374" spans="2:7" x14ac:dyDescent="0.2">
      <c r="B374" s="10">
        <v>324</v>
      </c>
      <c r="C374" s="9">
        <v>76.977864090136123</v>
      </c>
      <c r="D374" s="9">
        <v>61.582291272108897</v>
      </c>
      <c r="E374" s="9">
        <v>0</v>
      </c>
      <c r="F374" s="9">
        <v>0</v>
      </c>
      <c r="G374">
        <f t="shared" si="8"/>
        <v>-0.46479583612760822</v>
      </c>
    </row>
    <row r="375" spans="2:7" x14ac:dyDescent="0.2">
      <c r="B375" s="10">
        <v>325</v>
      </c>
      <c r="C375" s="9">
        <v>112.04434695247534</v>
      </c>
      <c r="D375" s="9">
        <v>100</v>
      </c>
      <c r="E375" s="9">
        <v>3.5224749991028061</v>
      </c>
      <c r="F375" s="9">
        <v>8.5218719533725302</v>
      </c>
      <c r="G375">
        <f t="shared" si="8"/>
        <v>1.9999999999999966E-2</v>
      </c>
    </row>
    <row r="376" spans="2:7" x14ac:dyDescent="0.2">
      <c r="B376" s="10">
        <v>326</v>
      </c>
      <c r="C376" s="9">
        <v>134.08147071316247</v>
      </c>
      <c r="D376" s="9">
        <v>100</v>
      </c>
      <c r="E376" s="9">
        <v>11.235468315343304</v>
      </c>
      <c r="F376" s="9">
        <v>22.84600239781917</v>
      </c>
      <c r="G376">
        <f t="shared" si="8"/>
        <v>1.9999999999999966E-2</v>
      </c>
    </row>
    <row r="377" spans="2:7" x14ac:dyDescent="0.2">
      <c r="B377" s="10">
        <v>327</v>
      </c>
      <c r="C377" s="9">
        <v>85.248709982870764</v>
      </c>
      <c r="D377" s="9">
        <v>68.198967986296609</v>
      </c>
      <c r="E377" s="9">
        <v>0</v>
      </c>
      <c r="F377" s="9">
        <v>0</v>
      </c>
      <c r="G377">
        <f t="shared" si="8"/>
        <v>-0.36274075341890621</v>
      </c>
    </row>
    <row r="378" spans="2:7" x14ac:dyDescent="0.2">
      <c r="B378" s="10">
        <v>328</v>
      </c>
      <c r="C378" s="9">
        <v>106.35560011192742</v>
      </c>
      <c r="D378" s="9">
        <v>100</v>
      </c>
      <c r="E378" s="9">
        <v>1.5314136049110338</v>
      </c>
      <c r="F378" s="9">
        <v>4.8241865070163819</v>
      </c>
      <c r="G378">
        <f t="shared" si="8"/>
        <v>1.9999999999999966E-2</v>
      </c>
    </row>
    <row r="379" spans="2:7" x14ac:dyDescent="0.2">
      <c r="B379" s="10">
        <v>329</v>
      </c>
      <c r="C379" s="9">
        <v>81.296447486496604</v>
      </c>
      <c r="D379" s="9">
        <v>65.037157989197283</v>
      </c>
      <c r="E379" s="9">
        <v>0</v>
      </c>
      <c r="F379" s="9">
        <v>0</v>
      </c>
      <c r="G379">
        <f t="shared" si="8"/>
        <v>-0.41021141805630512</v>
      </c>
    </row>
    <row r="380" spans="2:7" x14ac:dyDescent="0.2">
      <c r="B380" s="10">
        <v>330</v>
      </c>
      <c r="C380" s="9">
        <v>63.872904719986238</v>
      </c>
      <c r="D380" s="9">
        <v>51.098323775988987</v>
      </c>
      <c r="E380" s="9">
        <v>0</v>
      </c>
      <c r="F380" s="9">
        <v>0</v>
      </c>
      <c r="G380">
        <f t="shared" si="8"/>
        <v>-0.6514184921346764</v>
      </c>
    </row>
    <row r="381" spans="2:7" x14ac:dyDescent="0.2">
      <c r="B381" s="10">
        <v>331</v>
      </c>
      <c r="C381" s="9">
        <v>108.15634597833406</v>
      </c>
      <c r="D381" s="9">
        <v>100</v>
      </c>
      <c r="E381" s="9">
        <v>2.161674658153359</v>
      </c>
      <c r="F381" s="9">
        <v>5.9946713201807</v>
      </c>
      <c r="G381">
        <f t="shared" si="8"/>
        <v>1.9999999999999966E-2</v>
      </c>
    </row>
    <row r="382" spans="2:7" x14ac:dyDescent="0.2">
      <c r="B382" s="10">
        <v>332</v>
      </c>
      <c r="C382" s="9">
        <v>146.06194774572481</v>
      </c>
      <c r="D382" s="9">
        <v>100</v>
      </c>
      <c r="E382" s="9">
        <v>15.42863527674012</v>
      </c>
      <c r="F382" s="9">
        <v>30.633312468984688</v>
      </c>
      <c r="G382">
        <f t="shared" si="8"/>
        <v>1.9999999999999966E-2</v>
      </c>
    </row>
    <row r="383" spans="2:7" x14ac:dyDescent="0.2">
      <c r="B383" s="10">
        <v>333</v>
      </c>
      <c r="C383" s="9">
        <v>157.19088188016545</v>
      </c>
      <c r="D383" s="9">
        <v>100</v>
      </c>
      <c r="E383" s="9">
        <v>19.323762223794343</v>
      </c>
      <c r="F383" s="9">
        <v>37.867119656371102</v>
      </c>
      <c r="G383">
        <f t="shared" si="8"/>
        <v>1.9999999999999966E-2</v>
      </c>
    </row>
    <row r="384" spans="2:7" x14ac:dyDescent="0.2">
      <c r="B384" s="10">
        <v>334</v>
      </c>
      <c r="C384" s="9">
        <v>115.97561488981607</v>
      </c>
      <c r="D384" s="9">
        <v>100</v>
      </c>
      <c r="E384" s="9">
        <v>4.8984187771720631</v>
      </c>
      <c r="F384" s="9">
        <v>11.077196112644009</v>
      </c>
      <c r="G384">
        <f t="shared" si="8"/>
        <v>1.9999999999999966E-2</v>
      </c>
    </row>
    <row r="385" spans="2:7" x14ac:dyDescent="0.2">
      <c r="B385" s="10">
        <v>335</v>
      </c>
      <c r="C385" s="9">
        <v>174.41421587052838</v>
      </c>
      <c r="D385" s="9">
        <v>100</v>
      </c>
      <c r="E385" s="9">
        <v>25.351929120421371</v>
      </c>
      <c r="F385" s="9">
        <v>49.062286750107006</v>
      </c>
      <c r="G385">
        <f t="shared" si="8"/>
        <v>1.9999999999999966E-2</v>
      </c>
    </row>
    <row r="386" spans="2:7" x14ac:dyDescent="0.2">
      <c r="B386" s="10">
        <v>336</v>
      </c>
      <c r="C386" s="9">
        <v>98.793672406046198</v>
      </c>
      <c r="D386" s="9">
        <v>79.034937924836953</v>
      </c>
      <c r="E386" s="9">
        <v>0</v>
      </c>
      <c r="F386" s="9">
        <v>0</v>
      </c>
      <c r="G386">
        <f t="shared" si="8"/>
        <v>-0.21528017907263061</v>
      </c>
    </row>
    <row r="387" spans="2:7" x14ac:dyDescent="0.2">
      <c r="B387" s="10">
        <v>337</v>
      </c>
      <c r="C387" s="9">
        <v>79.034297048587533</v>
      </c>
      <c r="D387" s="9">
        <v>63.227437638870029</v>
      </c>
      <c r="E387" s="9">
        <v>0</v>
      </c>
      <c r="F387" s="9">
        <v>0</v>
      </c>
      <c r="G387">
        <f t="shared" si="8"/>
        <v>-0.438431839191182</v>
      </c>
    </row>
    <row r="388" spans="2:7" x14ac:dyDescent="0.2">
      <c r="B388" s="10">
        <v>338</v>
      </c>
      <c r="C388" s="9">
        <v>101.62959431024132</v>
      </c>
      <c r="D388" s="9">
        <v>100</v>
      </c>
      <c r="E388" s="9">
        <v>-0.12268842567910097</v>
      </c>
      <c r="F388" s="9">
        <v>1.7522827359204172</v>
      </c>
      <c r="G388">
        <f t="shared" si="8"/>
        <v>1.9999999999999966E-2</v>
      </c>
    </row>
    <row r="389" spans="2:7" x14ac:dyDescent="0.2">
      <c r="B389" s="10">
        <v>339</v>
      </c>
      <c r="C389" s="9">
        <v>119.17127887902427</v>
      </c>
      <c r="D389" s="9">
        <v>100</v>
      </c>
      <c r="E389" s="9">
        <v>6.0169011733949329</v>
      </c>
      <c r="F389" s="9">
        <v>13.154377705629338</v>
      </c>
      <c r="G389">
        <f t="shared" si="8"/>
        <v>1.9999999999999966E-2</v>
      </c>
    </row>
    <row r="390" spans="2:7" x14ac:dyDescent="0.2">
      <c r="B390" s="10">
        <v>340</v>
      </c>
      <c r="C390" s="9">
        <v>147.93290271808496</v>
      </c>
      <c r="D390" s="9">
        <v>100</v>
      </c>
      <c r="E390" s="9">
        <v>16.083469517066174</v>
      </c>
      <c r="F390" s="9">
        <v>31.849433201018787</v>
      </c>
      <c r="G390">
        <f t="shared" si="8"/>
        <v>1.9999999999999966E-2</v>
      </c>
    </row>
    <row r="391" spans="2:7" x14ac:dyDescent="0.2">
      <c r="B391" s="10">
        <v>341</v>
      </c>
      <c r="C391" s="9">
        <v>136.7932059709824</v>
      </c>
      <c r="D391" s="9">
        <v>100</v>
      </c>
      <c r="E391" s="9">
        <v>12.184575655580277</v>
      </c>
      <c r="F391" s="9">
        <v>24.608630315402124</v>
      </c>
      <c r="G391">
        <f t="shared" si="8"/>
        <v>1.9999999999999966E-2</v>
      </c>
    </row>
    <row r="392" spans="2:7" x14ac:dyDescent="0.2">
      <c r="B392" s="10">
        <v>342</v>
      </c>
      <c r="C392" s="9">
        <v>98.36513568608818</v>
      </c>
      <c r="D392" s="9">
        <v>78.69210854887055</v>
      </c>
      <c r="E392" s="9">
        <v>0</v>
      </c>
      <c r="F392" s="9">
        <v>0</v>
      </c>
      <c r="G392">
        <f t="shared" si="8"/>
        <v>-0.2196273081607179</v>
      </c>
    </row>
    <row r="393" spans="2:7" x14ac:dyDescent="0.2">
      <c r="B393" s="10">
        <v>343</v>
      </c>
      <c r="C393" s="9">
        <v>88.63130074055438</v>
      </c>
      <c r="D393" s="9">
        <v>70.905040592443498</v>
      </c>
      <c r="E393" s="9">
        <v>0</v>
      </c>
      <c r="F393" s="9">
        <v>0</v>
      </c>
      <c r="G393">
        <f t="shared" si="8"/>
        <v>-0.32382866058438114</v>
      </c>
    </row>
    <row r="394" spans="2:7" x14ac:dyDescent="0.2">
      <c r="B394" s="10">
        <v>344</v>
      </c>
      <c r="C394" s="9">
        <v>131.39791405156674</v>
      </c>
      <c r="D394" s="9">
        <v>100</v>
      </c>
      <c r="E394" s="9">
        <v>10.296223483784798</v>
      </c>
      <c r="F394" s="9">
        <v>21.101690567781944</v>
      </c>
      <c r="G394">
        <f t="shared" si="8"/>
        <v>1.9999999999999966E-2</v>
      </c>
    </row>
    <row r="395" spans="2:7" x14ac:dyDescent="0.2">
      <c r="B395" s="10">
        <v>345</v>
      </c>
      <c r="C395" s="9">
        <v>78.144512352170793</v>
      </c>
      <c r="D395" s="9">
        <v>62.515609881736637</v>
      </c>
      <c r="E395" s="9">
        <v>0</v>
      </c>
      <c r="F395" s="9">
        <v>0</v>
      </c>
      <c r="G395">
        <f t="shared" si="8"/>
        <v>-0.44975390232231338</v>
      </c>
    </row>
    <row r="396" spans="2:7" x14ac:dyDescent="0.2">
      <c r="B396" s="10">
        <v>346</v>
      </c>
      <c r="C396" s="9">
        <v>149.40296842604013</v>
      </c>
      <c r="D396" s="9">
        <v>100</v>
      </c>
      <c r="E396" s="9">
        <v>16.597992514850485</v>
      </c>
      <c r="F396" s="9">
        <v>32.804975911189644</v>
      </c>
      <c r="G396">
        <f t="shared" si="8"/>
        <v>1.9999999999999966E-2</v>
      </c>
    </row>
    <row r="397" spans="2:7" x14ac:dyDescent="0.2">
      <c r="B397" s="10">
        <v>347</v>
      </c>
      <c r="C397" s="9">
        <v>129.59045557767615</v>
      </c>
      <c r="D397" s="9">
        <v>100</v>
      </c>
      <c r="E397" s="9">
        <v>9.6636130179230904</v>
      </c>
      <c r="F397" s="9">
        <v>19.926842559753062</v>
      </c>
      <c r="G397">
        <f t="shared" si="8"/>
        <v>1.9999999999999966E-2</v>
      </c>
    </row>
    <row r="398" spans="2:7" x14ac:dyDescent="0.2">
      <c r="B398" s="10">
        <v>348</v>
      </c>
      <c r="C398" s="9">
        <v>175.38632751433869</v>
      </c>
      <c r="D398" s="9">
        <v>100</v>
      </c>
      <c r="E398" s="9">
        <v>25.692168195754977</v>
      </c>
      <c r="F398" s="9">
        <v>49.694159318583715</v>
      </c>
      <c r="G398">
        <f t="shared" si="8"/>
        <v>1.9999999999999966E-2</v>
      </c>
    </row>
    <row r="399" spans="2:7" x14ac:dyDescent="0.2">
      <c r="B399" s="10">
        <v>349</v>
      </c>
      <c r="C399" s="9">
        <v>138.07410055150754</v>
      </c>
      <c r="D399" s="9">
        <v>100</v>
      </c>
      <c r="E399" s="9">
        <v>12.632888758764077</v>
      </c>
      <c r="F399" s="9">
        <v>25.441211792743466</v>
      </c>
      <c r="G399">
        <f t="shared" si="8"/>
        <v>1.9999999999999966E-2</v>
      </c>
    </row>
    <row r="400" spans="2:7" x14ac:dyDescent="0.2">
      <c r="B400" s="10">
        <v>350</v>
      </c>
      <c r="C400" s="9">
        <v>133.94922295257109</v>
      </c>
      <c r="D400" s="9">
        <v>100</v>
      </c>
      <c r="E400" s="9">
        <v>11.189181599136319</v>
      </c>
      <c r="F400" s="9">
        <v>22.760041353434772</v>
      </c>
      <c r="G400">
        <f t="shared" si="8"/>
        <v>1.9999999999999966E-2</v>
      </c>
    </row>
    <row r="401" spans="2:7" x14ac:dyDescent="0.2">
      <c r="B401" s="10">
        <v>351</v>
      </c>
      <c r="C401" s="9">
        <v>183.91929751764297</v>
      </c>
      <c r="D401" s="9">
        <v>100</v>
      </c>
      <c r="E401" s="9">
        <v>28.678707696911477</v>
      </c>
      <c r="F401" s="9">
        <v>55.2405898207315</v>
      </c>
      <c r="G401">
        <f t="shared" si="8"/>
        <v>1.9999999999999966E-2</v>
      </c>
    </row>
    <row r="402" spans="2:7" x14ac:dyDescent="0.2">
      <c r="B402" s="10">
        <v>352</v>
      </c>
      <c r="C402" s="9">
        <v>106.25706021394963</v>
      </c>
      <c r="D402" s="9">
        <v>100</v>
      </c>
      <c r="E402" s="9">
        <v>1.4969246406188084</v>
      </c>
      <c r="F402" s="9">
        <v>4.7601355733308202</v>
      </c>
      <c r="G402">
        <f t="shared" si="8"/>
        <v>1.9999999999999966E-2</v>
      </c>
    </row>
    <row r="403" spans="2:7" x14ac:dyDescent="0.2">
      <c r="B403" s="10">
        <v>353</v>
      </c>
      <c r="C403" s="9">
        <v>147.21908168676805</v>
      </c>
      <c r="D403" s="9">
        <v>100</v>
      </c>
      <c r="E403" s="9">
        <v>15.833632156105255</v>
      </c>
      <c r="F403" s="9">
        <v>31.385449530662797</v>
      </c>
      <c r="G403">
        <f t="shared" si="8"/>
        <v>1.9999999999999966E-2</v>
      </c>
    </row>
    <row r="404" spans="2:7" x14ac:dyDescent="0.2">
      <c r="B404" s="10">
        <v>354</v>
      </c>
      <c r="C404" s="9">
        <v>85.91421979971868</v>
      </c>
      <c r="D404" s="9">
        <v>68.731375839774941</v>
      </c>
      <c r="E404" s="9">
        <v>0</v>
      </c>
      <c r="F404" s="9">
        <v>0</v>
      </c>
      <c r="G404">
        <f t="shared" si="8"/>
        <v>-0.35496438301659827</v>
      </c>
    </row>
    <row r="405" spans="2:7" x14ac:dyDescent="0.2">
      <c r="B405" s="10">
        <v>355</v>
      </c>
      <c r="C405" s="9">
        <v>105.54786644163738</v>
      </c>
      <c r="D405" s="9">
        <v>100</v>
      </c>
      <c r="E405" s="9">
        <v>1.248706820309522</v>
      </c>
      <c r="F405" s="9">
        <v>4.2991596213278598</v>
      </c>
      <c r="G405">
        <f t="shared" si="8"/>
        <v>1.9999999999999966E-2</v>
      </c>
    </row>
    <row r="406" spans="2:7" x14ac:dyDescent="0.2">
      <c r="B406" s="10">
        <v>356</v>
      </c>
      <c r="C406" s="9">
        <v>123.84907212075443</v>
      </c>
      <c r="D406" s="9">
        <v>100</v>
      </c>
      <c r="E406" s="9">
        <v>7.6541288080004879</v>
      </c>
      <c r="F406" s="9">
        <v>16.194943312753942</v>
      </c>
      <c r="G406">
        <f t="shared" si="8"/>
        <v>1.9999999999999966E-2</v>
      </c>
    </row>
    <row r="407" spans="2:7" x14ac:dyDescent="0.2">
      <c r="B407" s="10">
        <v>357</v>
      </c>
      <c r="C407" s="9">
        <v>96.307836161865126</v>
      </c>
      <c r="D407" s="9">
        <v>77.046268929492101</v>
      </c>
      <c r="E407" s="9">
        <v>0</v>
      </c>
      <c r="F407" s="9">
        <v>0</v>
      </c>
      <c r="G407">
        <f t="shared" si="8"/>
        <v>-0.24076404941142196</v>
      </c>
    </row>
    <row r="408" spans="2:7" x14ac:dyDescent="0.2">
      <c r="B408" s="10">
        <v>358</v>
      </c>
      <c r="C408" s="9">
        <v>98.780012994380257</v>
      </c>
      <c r="D408" s="9">
        <v>79.024010395504206</v>
      </c>
      <c r="E408" s="9">
        <v>0</v>
      </c>
      <c r="F408" s="9">
        <v>0</v>
      </c>
      <c r="G408">
        <f t="shared" si="8"/>
        <v>-0.21541845064113443</v>
      </c>
    </row>
    <row r="409" spans="2:7" x14ac:dyDescent="0.2">
      <c r="B409" s="10">
        <v>359</v>
      </c>
      <c r="C409" s="9">
        <v>124.48209046028713</v>
      </c>
      <c r="D409" s="9">
        <v>100</v>
      </c>
      <c r="E409" s="9">
        <v>7.8756852268369313</v>
      </c>
      <c r="F409" s="9">
        <v>16.606405233450193</v>
      </c>
      <c r="G409">
        <f t="shared" si="8"/>
        <v>1.9999999999999966E-2</v>
      </c>
    </row>
    <row r="410" spans="2:7" x14ac:dyDescent="0.2">
      <c r="B410" s="10">
        <v>360</v>
      </c>
      <c r="C410" s="9">
        <v>120.51201737569568</v>
      </c>
      <c r="D410" s="9">
        <v>100</v>
      </c>
      <c r="E410" s="9">
        <v>6.4861596472299254</v>
      </c>
      <c r="F410" s="9">
        <v>14.025857728465752</v>
      </c>
      <c r="G410">
        <f t="shared" si="8"/>
        <v>1.9999999999999966E-2</v>
      </c>
    </row>
    <row r="411" spans="2:7" x14ac:dyDescent="0.2">
      <c r="B411" s="10">
        <v>361</v>
      </c>
      <c r="C411" s="9">
        <v>123.35225384882148</v>
      </c>
      <c r="D411" s="9">
        <v>100</v>
      </c>
      <c r="E411" s="9">
        <v>7.4802424128239542</v>
      </c>
      <c r="F411" s="9">
        <v>15.872011435997521</v>
      </c>
      <c r="G411">
        <f t="shared" si="8"/>
        <v>1.9999999999999966E-2</v>
      </c>
    </row>
    <row r="412" spans="2:7" x14ac:dyDescent="0.2">
      <c r="B412" s="10">
        <v>362</v>
      </c>
      <c r="C412" s="9">
        <v>107.44971048052014</v>
      </c>
      <c r="D412" s="9">
        <v>100</v>
      </c>
      <c r="E412" s="9">
        <v>1.9143522339184869</v>
      </c>
      <c r="F412" s="9">
        <v>5.5353582466016515</v>
      </c>
      <c r="G412">
        <f t="shared" si="8"/>
        <v>1.9999999999999966E-2</v>
      </c>
    </row>
    <row r="413" spans="2:7" x14ac:dyDescent="0.2">
      <c r="B413" s="10">
        <v>363</v>
      </c>
      <c r="C413" s="9">
        <v>155.31554835169595</v>
      </c>
      <c r="D413" s="9">
        <v>100</v>
      </c>
      <c r="E413" s="9">
        <v>18.667395488830021</v>
      </c>
      <c r="F413" s="9">
        <v>36.648152862865928</v>
      </c>
      <c r="G413">
        <f t="shared" si="8"/>
        <v>1.9999999999999966E-2</v>
      </c>
    </row>
    <row r="414" spans="2:7" x14ac:dyDescent="0.2">
      <c r="B414" s="10">
        <v>364</v>
      </c>
      <c r="C414" s="9">
        <v>104.94422697030905</v>
      </c>
      <c r="D414" s="9">
        <v>100</v>
      </c>
      <c r="E414" s="9">
        <v>1.0374330053446044</v>
      </c>
      <c r="F414" s="9">
        <v>3.9067939649644416</v>
      </c>
      <c r="G414">
        <f t="shared" si="8"/>
        <v>1.9999999999999966E-2</v>
      </c>
    </row>
    <row r="415" spans="2:7" x14ac:dyDescent="0.2">
      <c r="B415" s="10">
        <v>365</v>
      </c>
      <c r="C415" s="9">
        <v>114.58864404415567</v>
      </c>
      <c r="D415" s="9">
        <v>100</v>
      </c>
      <c r="E415" s="9">
        <v>4.412978981190923</v>
      </c>
      <c r="F415" s="9">
        <v>10.175665062964748</v>
      </c>
      <c r="G415">
        <f t="shared" si="8"/>
        <v>1.9999999999999966E-2</v>
      </c>
    </row>
    <row r="416" spans="2:7" x14ac:dyDescent="0.2">
      <c r="B416" s="10">
        <v>366</v>
      </c>
      <c r="C416" s="9">
        <v>89.746656078852979</v>
      </c>
      <c r="D416" s="9">
        <v>71.79732486308238</v>
      </c>
      <c r="E416" s="9">
        <v>0</v>
      </c>
      <c r="F416" s="9">
        <v>0</v>
      </c>
      <c r="G416">
        <f t="shared" si="8"/>
        <v>-0.31132296880235605</v>
      </c>
    </row>
    <row r="417" spans="2:7" x14ac:dyDescent="0.2">
      <c r="B417" s="10">
        <v>367</v>
      </c>
      <c r="C417" s="9">
        <v>102.32888754994065</v>
      </c>
      <c r="D417" s="9">
        <v>100</v>
      </c>
      <c r="E417" s="9">
        <v>0.12206420821566438</v>
      </c>
      <c r="F417" s="9">
        <v>2.2068233417249816</v>
      </c>
      <c r="G417">
        <f t="shared" si="8"/>
        <v>1.9999999999999966E-2</v>
      </c>
    </row>
    <row r="418" spans="2:7" x14ac:dyDescent="0.2">
      <c r="B418" s="10">
        <v>368</v>
      </c>
      <c r="C418" s="9">
        <v>95.586172833018452</v>
      </c>
      <c r="D418" s="9">
        <v>76.468938266414767</v>
      </c>
      <c r="E418" s="9">
        <v>0</v>
      </c>
      <c r="F418" s="9">
        <v>0</v>
      </c>
      <c r="G418">
        <f t="shared" si="8"/>
        <v>-0.24828556334357033</v>
      </c>
    </row>
    <row r="419" spans="2:7" x14ac:dyDescent="0.2">
      <c r="B419" s="10">
        <v>369</v>
      </c>
      <c r="C419" s="9">
        <v>124.06586577800991</v>
      </c>
      <c r="D419" s="9">
        <v>100</v>
      </c>
      <c r="E419" s="9">
        <v>7.7300065880399051</v>
      </c>
      <c r="F419" s="9">
        <v>16.335859189970002</v>
      </c>
      <c r="G419">
        <f t="shared" si="8"/>
        <v>1.9999999999999966E-2</v>
      </c>
    </row>
    <row r="420" spans="2:7" x14ac:dyDescent="0.2">
      <c r="B420" s="10">
        <v>370</v>
      </c>
      <c r="C420" s="9">
        <v>117.16244925819075</v>
      </c>
      <c r="D420" s="9">
        <v>100</v>
      </c>
      <c r="E420" s="9">
        <v>5.3138108061031994</v>
      </c>
      <c r="F420" s="9">
        <v>11.848638452087549</v>
      </c>
      <c r="G420">
        <f t="shared" si="8"/>
        <v>1.9999999999999966E-2</v>
      </c>
    </row>
    <row r="421" spans="2:7" x14ac:dyDescent="0.2">
      <c r="B421" s="10">
        <v>371</v>
      </c>
      <c r="C421" s="9">
        <v>113.55957057374788</v>
      </c>
      <c r="D421" s="9">
        <v>100</v>
      </c>
      <c r="E421" s="9">
        <v>4.052803266548195</v>
      </c>
      <c r="F421" s="9">
        <v>9.5067673071996808</v>
      </c>
      <c r="G421">
        <f t="shared" si="8"/>
        <v>1.9999999999999966E-2</v>
      </c>
    </row>
    <row r="422" spans="2:7" x14ac:dyDescent="0.2">
      <c r="B422" s="10">
        <v>372</v>
      </c>
      <c r="C422" s="9">
        <v>100.99568895949231</v>
      </c>
      <c r="D422" s="9">
        <v>100</v>
      </c>
      <c r="E422" s="9">
        <v>-0.34455529844125221</v>
      </c>
      <c r="F422" s="9">
        <v>1.3402442579335649</v>
      </c>
      <c r="G422">
        <f t="shared" si="8"/>
        <v>1.9999999999999966E-2</v>
      </c>
    </row>
    <row r="423" spans="2:7" x14ac:dyDescent="0.2">
      <c r="B423" s="10">
        <v>373</v>
      </c>
      <c r="C423" s="9">
        <v>87.591160801715276</v>
      </c>
      <c r="D423" s="9">
        <v>70.072928641372215</v>
      </c>
      <c r="E423" s="9">
        <v>0</v>
      </c>
      <c r="F423" s="9">
        <v>0</v>
      </c>
      <c r="G423">
        <f t="shared" si="8"/>
        <v>-0.33563364854112399</v>
      </c>
    </row>
    <row r="424" spans="2:7" x14ac:dyDescent="0.2">
      <c r="B424" s="10">
        <v>374</v>
      </c>
      <c r="C424" s="9">
        <v>123.34648120317007</v>
      </c>
      <c r="D424" s="9">
        <v>100</v>
      </c>
      <c r="E424" s="9">
        <v>7.4782219868459627</v>
      </c>
      <c r="F424" s="9">
        <v>15.868259216324109</v>
      </c>
      <c r="G424">
        <f t="shared" si="8"/>
        <v>1.9999999999999966E-2</v>
      </c>
    </row>
    <row r="425" spans="2:7" x14ac:dyDescent="0.2">
      <c r="B425" s="10">
        <v>375</v>
      </c>
      <c r="C425" s="9">
        <v>130.40948536504084</v>
      </c>
      <c r="D425" s="9">
        <v>100</v>
      </c>
      <c r="E425" s="9">
        <v>9.9502734435007305</v>
      </c>
      <c r="F425" s="9">
        <v>20.459211921540106</v>
      </c>
      <c r="G425">
        <f t="shared" si="8"/>
        <v>1.9999999999999966E-2</v>
      </c>
    </row>
    <row r="426" spans="2:7" x14ac:dyDescent="0.2">
      <c r="B426" s="10">
        <v>376</v>
      </c>
      <c r="C426" s="9">
        <v>116.63675791335118</v>
      </c>
      <c r="D426" s="9">
        <v>100</v>
      </c>
      <c r="E426" s="9">
        <v>5.129818835409349</v>
      </c>
      <c r="F426" s="9">
        <v>11.506939077941826</v>
      </c>
      <c r="G426">
        <f t="shared" si="8"/>
        <v>1.9999999999999966E-2</v>
      </c>
    </row>
    <row r="427" spans="2:7" x14ac:dyDescent="0.2">
      <c r="B427" s="10">
        <v>377</v>
      </c>
      <c r="C427" s="9">
        <v>126.97038587002116</v>
      </c>
      <c r="D427" s="9">
        <v>100</v>
      </c>
      <c r="E427" s="9">
        <v>8.7465886202438448</v>
      </c>
      <c r="F427" s="9">
        <v>18.223797249777316</v>
      </c>
      <c r="G427">
        <f t="shared" si="8"/>
        <v>1.9999999999999966E-2</v>
      </c>
    </row>
    <row r="428" spans="2:7" x14ac:dyDescent="0.2">
      <c r="B428" s="10">
        <v>378</v>
      </c>
      <c r="C428" s="9">
        <v>79.890461916005322</v>
      </c>
      <c r="D428" s="9">
        <v>63.912369532804256</v>
      </c>
      <c r="E428" s="9">
        <v>0</v>
      </c>
      <c r="F428" s="9">
        <v>0</v>
      </c>
      <c r="G428">
        <f t="shared" si="8"/>
        <v>-0.42765726692488654</v>
      </c>
    </row>
    <row r="429" spans="2:7" x14ac:dyDescent="0.2">
      <c r="B429" s="10">
        <v>379</v>
      </c>
      <c r="C429" s="9">
        <v>135.67031794469327</v>
      </c>
      <c r="D429" s="9">
        <v>100</v>
      </c>
      <c r="E429" s="9">
        <v>11.791564846379082</v>
      </c>
      <c r="F429" s="9">
        <v>23.878753098314185</v>
      </c>
      <c r="G429">
        <f t="shared" si="8"/>
        <v>1.9999999999999966E-2</v>
      </c>
    </row>
    <row r="430" spans="2:7" x14ac:dyDescent="0.2">
      <c r="B430" s="10">
        <v>380</v>
      </c>
      <c r="C430" s="9">
        <v>116.33494912001265</v>
      </c>
      <c r="D430" s="9">
        <v>100</v>
      </c>
      <c r="E430" s="9">
        <v>5.0241857577408666</v>
      </c>
      <c r="F430" s="9">
        <v>11.310763362271786</v>
      </c>
      <c r="G430">
        <f t="shared" si="8"/>
        <v>1.9999999999999966E-2</v>
      </c>
    </row>
    <row r="431" spans="2:7" x14ac:dyDescent="0.2">
      <c r="B431" s="10">
        <v>381</v>
      </c>
      <c r="C431" s="9">
        <v>164.91021383765815</v>
      </c>
      <c r="D431" s="9">
        <v>100</v>
      </c>
      <c r="E431" s="9">
        <v>22.025528408916788</v>
      </c>
      <c r="F431" s="9">
        <v>42.884685428741363</v>
      </c>
      <c r="G431">
        <f t="shared" si="8"/>
        <v>1.9999999999999966E-2</v>
      </c>
    </row>
    <row r="432" spans="2:7" x14ac:dyDescent="0.2">
      <c r="B432" s="10">
        <v>382</v>
      </c>
      <c r="C432" s="9">
        <v>119.10653022782394</v>
      </c>
      <c r="D432" s="9">
        <v>100</v>
      </c>
      <c r="E432" s="9">
        <v>5.9942391454748165</v>
      </c>
      <c r="F432" s="9">
        <v>13.112291082349122</v>
      </c>
      <c r="G432">
        <f t="shared" si="8"/>
        <v>1.9999999999999966E-2</v>
      </c>
    </row>
    <row r="433" spans="2:7" x14ac:dyDescent="0.2">
      <c r="B433" s="10">
        <v>383</v>
      </c>
      <c r="C433" s="9">
        <v>116.32824276774787</v>
      </c>
      <c r="D433" s="9">
        <v>100</v>
      </c>
      <c r="E433" s="9">
        <v>5.0218385344481913</v>
      </c>
      <c r="F433" s="9">
        <v>11.306404233299675</v>
      </c>
      <c r="G433">
        <f t="shared" si="8"/>
        <v>1.9999999999999966E-2</v>
      </c>
    </row>
    <row r="434" spans="2:7" x14ac:dyDescent="0.2">
      <c r="B434" s="10">
        <v>384</v>
      </c>
      <c r="C434" s="9">
        <v>82.062563193529144</v>
      </c>
      <c r="D434" s="9">
        <v>65.650050554823309</v>
      </c>
      <c r="E434" s="9">
        <v>0</v>
      </c>
      <c r="F434" s="9">
        <v>0</v>
      </c>
      <c r="G434">
        <f t="shared" si="8"/>
        <v>-0.4008318151737289</v>
      </c>
    </row>
    <row r="435" spans="2:7" x14ac:dyDescent="0.2">
      <c r="B435" s="10">
        <v>385</v>
      </c>
      <c r="C435" s="9">
        <v>84.86245953216681</v>
      </c>
      <c r="D435" s="9">
        <v>67.889967625733448</v>
      </c>
      <c r="E435" s="9">
        <v>0</v>
      </c>
      <c r="F435" s="9">
        <v>0</v>
      </c>
      <c r="G435">
        <f t="shared" ref="G435:G498" si="9">LN(D435/$C$7)</f>
        <v>-0.36728191453820147</v>
      </c>
    </row>
    <row r="436" spans="2:7" x14ac:dyDescent="0.2">
      <c r="B436" s="10">
        <v>386</v>
      </c>
      <c r="C436" s="9">
        <v>116.63431562467497</v>
      </c>
      <c r="D436" s="9">
        <v>100</v>
      </c>
      <c r="E436" s="9">
        <v>5.128964034372677</v>
      </c>
      <c r="F436" s="9">
        <v>11.505351590302292</v>
      </c>
      <c r="G436">
        <f t="shared" si="9"/>
        <v>1.9999999999999966E-2</v>
      </c>
    </row>
    <row r="437" spans="2:7" x14ac:dyDescent="0.2">
      <c r="B437" s="10">
        <v>387</v>
      </c>
      <c r="C437" s="9">
        <v>125.1775946056225</v>
      </c>
      <c r="D437" s="9">
        <v>100</v>
      </c>
      <c r="E437" s="9">
        <v>8.1191116777043142</v>
      </c>
      <c r="F437" s="9">
        <v>17.058482927918188</v>
      </c>
      <c r="G437">
        <f t="shared" si="9"/>
        <v>1.9999999999999966E-2</v>
      </c>
    </row>
    <row r="438" spans="2:7" x14ac:dyDescent="0.2">
      <c r="B438" s="10">
        <v>388</v>
      </c>
      <c r="C438" s="9">
        <v>80.994417266576761</v>
      </c>
      <c r="D438" s="9">
        <v>64.795533813261414</v>
      </c>
      <c r="E438" s="9">
        <v>0</v>
      </c>
      <c r="F438" s="9">
        <v>0</v>
      </c>
      <c r="G438">
        <f t="shared" si="9"/>
        <v>-0.41393350763999115</v>
      </c>
    </row>
    <row r="439" spans="2:7" x14ac:dyDescent="0.2">
      <c r="B439" s="10">
        <v>389</v>
      </c>
      <c r="C439" s="9">
        <v>112.82257542926774</v>
      </c>
      <c r="D439" s="9">
        <v>100</v>
      </c>
      <c r="E439" s="9">
        <v>3.7948549659801483</v>
      </c>
      <c r="F439" s="9">
        <v>9.0277204632875954</v>
      </c>
      <c r="G439">
        <f t="shared" si="9"/>
        <v>1.9999999999999966E-2</v>
      </c>
    </row>
    <row r="440" spans="2:7" x14ac:dyDescent="0.2">
      <c r="B440" s="10">
        <v>390</v>
      </c>
      <c r="C440" s="9">
        <v>122.57316148583568</v>
      </c>
      <c r="D440" s="9">
        <v>100</v>
      </c>
      <c r="E440" s="9">
        <v>7.207560085778927</v>
      </c>
      <c r="F440" s="9">
        <v>15.365601400056757</v>
      </c>
      <c r="G440">
        <f t="shared" si="9"/>
        <v>1.9999999999999966E-2</v>
      </c>
    </row>
    <row r="441" spans="2:7" x14ac:dyDescent="0.2">
      <c r="B441" s="10">
        <v>391</v>
      </c>
      <c r="C441" s="9">
        <v>110.39409288916457</v>
      </c>
      <c r="D441" s="9">
        <v>100</v>
      </c>
      <c r="E441" s="9">
        <v>2.9448860769440373</v>
      </c>
      <c r="F441" s="9">
        <v>7.449206812220531</v>
      </c>
      <c r="G441">
        <f t="shared" si="9"/>
        <v>1.9999999999999966E-2</v>
      </c>
    </row>
    <row r="442" spans="2:7" x14ac:dyDescent="0.2">
      <c r="B442" s="10">
        <v>392</v>
      </c>
      <c r="C442" s="9">
        <v>86.84767071290409</v>
      </c>
      <c r="D442" s="9">
        <v>69.478136570323272</v>
      </c>
      <c r="E442" s="9">
        <v>0</v>
      </c>
      <c r="F442" s="9">
        <v>0</v>
      </c>
      <c r="G442">
        <f t="shared" si="9"/>
        <v>-0.34415806463052179</v>
      </c>
    </row>
    <row r="443" spans="2:7" x14ac:dyDescent="0.2">
      <c r="B443" s="10">
        <v>393</v>
      </c>
      <c r="C443" s="9">
        <v>115.63024084926423</v>
      </c>
      <c r="D443" s="9">
        <v>100</v>
      </c>
      <c r="E443" s="9">
        <v>4.7775378629789174</v>
      </c>
      <c r="F443" s="9">
        <v>10.852702986285308</v>
      </c>
      <c r="G443">
        <f t="shared" si="9"/>
        <v>1.9999999999999966E-2</v>
      </c>
    </row>
    <row r="444" spans="2:7" x14ac:dyDescent="0.2">
      <c r="B444" s="10">
        <v>394</v>
      </c>
      <c r="C444" s="9">
        <v>80.879663659852781</v>
      </c>
      <c r="D444" s="9">
        <v>64.703730927882219</v>
      </c>
      <c r="E444" s="9">
        <v>0</v>
      </c>
      <c r="F444" s="9">
        <v>0</v>
      </c>
      <c r="G444">
        <f t="shared" si="9"/>
        <v>-0.41535132110698136</v>
      </c>
    </row>
    <row r="445" spans="2:7" x14ac:dyDescent="0.2">
      <c r="B445" s="10">
        <v>395</v>
      </c>
      <c r="C445" s="9">
        <v>94.037224991502086</v>
      </c>
      <c r="D445" s="9">
        <v>75.229779993201674</v>
      </c>
      <c r="E445" s="9">
        <v>0</v>
      </c>
      <c r="F445" s="9">
        <v>0</v>
      </c>
      <c r="G445">
        <f t="shared" si="9"/>
        <v>-0.26462302287588446</v>
      </c>
    </row>
    <row r="446" spans="2:7" x14ac:dyDescent="0.2">
      <c r="B446" s="10">
        <v>396</v>
      </c>
      <c r="C446" s="9">
        <v>53.312345892174783</v>
      </c>
      <c r="D446" s="9">
        <v>42.649876713739829</v>
      </c>
      <c r="E446" s="9">
        <v>0</v>
      </c>
      <c r="F446" s="9">
        <v>0</v>
      </c>
      <c r="G446">
        <f t="shared" si="9"/>
        <v>-0.83214580270546445</v>
      </c>
    </row>
    <row r="447" spans="2:7" x14ac:dyDescent="0.2">
      <c r="B447" s="10">
        <v>397</v>
      </c>
      <c r="C447" s="9">
        <v>87.749288141921895</v>
      </c>
      <c r="D447" s="9">
        <v>70.199430513537521</v>
      </c>
      <c r="E447" s="9">
        <v>0</v>
      </c>
      <c r="F447" s="9">
        <v>0</v>
      </c>
      <c r="G447">
        <f t="shared" si="9"/>
        <v>-0.33382998733200153</v>
      </c>
    </row>
    <row r="448" spans="2:7" x14ac:dyDescent="0.2">
      <c r="B448" s="10">
        <v>398</v>
      </c>
      <c r="C448" s="9">
        <v>153.44056621371189</v>
      </c>
      <c r="D448" s="9">
        <v>100</v>
      </c>
      <c r="E448" s="9">
        <v>18.011151740535599</v>
      </c>
      <c r="F448" s="9">
        <v>35.429414473176294</v>
      </c>
      <c r="G448">
        <f t="shared" si="9"/>
        <v>1.9999999999999966E-2</v>
      </c>
    </row>
    <row r="449" spans="2:7" x14ac:dyDescent="0.2">
      <c r="B449" s="10">
        <v>399</v>
      </c>
      <c r="C449" s="9">
        <v>77.232344997107518</v>
      </c>
      <c r="D449" s="9">
        <v>61.785875997686013</v>
      </c>
      <c r="E449" s="9">
        <v>0</v>
      </c>
      <c r="F449" s="9">
        <v>0</v>
      </c>
      <c r="G449">
        <f t="shared" si="9"/>
        <v>-0.46149539137130724</v>
      </c>
    </row>
    <row r="450" spans="2:7" x14ac:dyDescent="0.2">
      <c r="B450" s="10">
        <v>400</v>
      </c>
      <c r="C450" s="9">
        <v>99.51099359201352</v>
      </c>
      <c r="D450" s="9">
        <v>79.608794873610819</v>
      </c>
      <c r="E450" s="9">
        <v>0</v>
      </c>
      <c r="F450" s="9">
        <v>0</v>
      </c>
      <c r="G450">
        <f t="shared" si="9"/>
        <v>-0.20804561087919859</v>
      </c>
    </row>
    <row r="451" spans="2:7" x14ac:dyDescent="0.2">
      <c r="B451" s="10">
        <v>401</v>
      </c>
      <c r="C451" s="9">
        <v>151.98591734796923</v>
      </c>
      <c r="D451" s="9">
        <v>100</v>
      </c>
      <c r="E451" s="9">
        <v>17.502024637525668</v>
      </c>
      <c r="F451" s="9">
        <v>34.48389271044357</v>
      </c>
      <c r="G451">
        <f t="shared" si="9"/>
        <v>1.9999999999999966E-2</v>
      </c>
    </row>
    <row r="452" spans="2:7" x14ac:dyDescent="0.2">
      <c r="B452" s="10">
        <v>402</v>
      </c>
      <c r="C452" s="9">
        <v>84.865135098852136</v>
      </c>
      <c r="D452" s="9">
        <v>67.892108079081709</v>
      </c>
      <c r="E452" s="9">
        <v>0</v>
      </c>
      <c r="F452" s="9">
        <v>0</v>
      </c>
      <c r="G452">
        <f t="shared" si="9"/>
        <v>-0.36725038676345911</v>
      </c>
    </row>
    <row r="453" spans="2:7" x14ac:dyDescent="0.2">
      <c r="B453" s="10">
        <v>403</v>
      </c>
      <c r="C453" s="9">
        <v>119.75776121790136</v>
      </c>
      <c r="D453" s="9">
        <v>100</v>
      </c>
      <c r="E453" s="9">
        <v>6.2221699920019145</v>
      </c>
      <c r="F453" s="9">
        <v>13.535591225899447</v>
      </c>
      <c r="G453">
        <f t="shared" si="9"/>
        <v>1.9999999999999966E-2</v>
      </c>
    </row>
    <row r="454" spans="2:7" x14ac:dyDescent="0.2">
      <c r="B454" s="10">
        <v>404</v>
      </c>
      <c r="C454" s="9">
        <v>113.17170956582743</v>
      </c>
      <c r="D454" s="9">
        <v>100</v>
      </c>
      <c r="E454" s="9">
        <v>3.9170519137760378</v>
      </c>
      <c r="F454" s="9">
        <v>9.2546576520513888</v>
      </c>
      <c r="G454">
        <f t="shared" si="9"/>
        <v>1.9999999999999966E-2</v>
      </c>
    </row>
    <row r="455" spans="2:7" x14ac:dyDescent="0.2">
      <c r="B455" s="10">
        <v>405</v>
      </c>
      <c r="C455" s="9">
        <v>118.82846809100445</v>
      </c>
      <c r="D455" s="9">
        <v>100</v>
      </c>
      <c r="E455" s="9">
        <v>5.8969173975879965</v>
      </c>
      <c r="F455" s="9">
        <v>12.931550693416456</v>
      </c>
      <c r="G455">
        <f t="shared" si="9"/>
        <v>1.9999999999999966E-2</v>
      </c>
    </row>
    <row r="456" spans="2:7" x14ac:dyDescent="0.2">
      <c r="B456" s="10">
        <v>406</v>
      </c>
      <c r="C456" s="9">
        <v>78.240879339507714</v>
      </c>
      <c r="D456" s="9">
        <v>62.592703471606171</v>
      </c>
      <c r="E456" s="9">
        <v>0</v>
      </c>
      <c r="F456" s="9">
        <v>0</v>
      </c>
      <c r="G456">
        <f t="shared" si="9"/>
        <v>-0.44852147263700842</v>
      </c>
    </row>
    <row r="457" spans="2:7" x14ac:dyDescent="0.2">
      <c r="B457" s="10">
        <v>407</v>
      </c>
      <c r="C457" s="9">
        <v>91.861732775502233</v>
      </c>
      <c r="D457" s="9">
        <v>73.489386220401784</v>
      </c>
      <c r="E457" s="9">
        <v>0</v>
      </c>
      <c r="F457" s="9">
        <v>0</v>
      </c>
      <c r="G457">
        <f t="shared" si="9"/>
        <v>-0.28802919536133165</v>
      </c>
    </row>
    <row r="458" spans="2:7" x14ac:dyDescent="0.2">
      <c r="B458" s="10">
        <v>408</v>
      </c>
      <c r="C458" s="9">
        <v>60.814279738230923</v>
      </c>
      <c r="D458" s="9">
        <v>48.651423790584737</v>
      </c>
      <c r="E458" s="9">
        <v>0</v>
      </c>
      <c r="F458" s="9">
        <v>0</v>
      </c>
      <c r="G458">
        <f t="shared" si="9"/>
        <v>-0.70048911179079854</v>
      </c>
    </row>
    <row r="459" spans="2:7" x14ac:dyDescent="0.2">
      <c r="B459" s="10">
        <v>409</v>
      </c>
      <c r="C459" s="9">
        <v>100.26438142987017</v>
      </c>
      <c r="D459" s="9">
        <v>100</v>
      </c>
      <c r="E459" s="9">
        <v>-0.60051293380900217</v>
      </c>
      <c r="F459" s="9">
        <v>0.86489436367917205</v>
      </c>
      <c r="G459">
        <f t="shared" si="9"/>
        <v>1.9999999999999966E-2</v>
      </c>
    </row>
    <row r="460" spans="2:7" x14ac:dyDescent="0.2">
      <c r="B460" s="10">
        <v>410</v>
      </c>
      <c r="C460" s="9">
        <v>160.20773868610976</v>
      </c>
      <c r="D460" s="9">
        <v>100</v>
      </c>
      <c r="E460" s="9">
        <v>20.379662105874853</v>
      </c>
      <c r="F460" s="9">
        <v>39.828076580234907</v>
      </c>
      <c r="G460">
        <f t="shared" si="9"/>
        <v>1.9999999999999966E-2</v>
      </c>
    </row>
    <row r="461" spans="2:7" x14ac:dyDescent="0.2">
      <c r="B461" s="10">
        <v>411</v>
      </c>
      <c r="C461" s="9">
        <v>138.44403487138115</v>
      </c>
      <c r="D461" s="9">
        <v>100</v>
      </c>
      <c r="E461" s="9">
        <v>12.762365770719839</v>
      </c>
      <c r="F461" s="9">
        <v>25.68166910066131</v>
      </c>
      <c r="G461">
        <f t="shared" si="9"/>
        <v>1.9999999999999966E-2</v>
      </c>
    </row>
    <row r="462" spans="2:7" x14ac:dyDescent="0.2">
      <c r="B462" s="10">
        <v>412</v>
      </c>
      <c r="C462" s="9">
        <v>137.42518837227303</v>
      </c>
      <c r="D462" s="9">
        <v>100</v>
      </c>
      <c r="E462" s="9">
        <v>12.405769496031997</v>
      </c>
      <c r="F462" s="9">
        <v>25.01941887624103</v>
      </c>
      <c r="G462">
        <f t="shared" si="9"/>
        <v>1.9999999999999966E-2</v>
      </c>
    </row>
    <row r="463" spans="2:7" x14ac:dyDescent="0.2">
      <c r="B463" s="10">
        <v>413</v>
      </c>
      <c r="C463" s="9">
        <v>90.078425653212889</v>
      </c>
      <c r="D463" s="9">
        <v>72.062740522570309</v>
      </c>
      <c r="E463" s="9">
        <v>0</v>
      </c>
      <c r="F463" s="9">
        <v>0</v>
      </c>
      <c r="G463">
        <f t="shared" si="9"/>
        <v>-0.30763305027043325</v>
      </c>
    </row>
    <row r="464" spans="2:7" x14ac:dyDescent="0.2">
      <c r="B464" s="10">
        <v>414</v>
      </c>
      <c r="C464" s="9">
        <v>112.04928465316728</v>
      </c>
      <c r="D464" s="9">
        <v>100</v>
      </c>
      <c r="E464" s="9">
        <v>3.524203194344985</v>
      </c>
      <c r="F464" s="9">
        <v>8.5250814588222923</v>
      </c>
      <c r="G464">
        <f t="shared" si="9"/>
        <v>1.9999999999999966E-2</v>
      </c>
    </row>
    <row r="465" spans="2:7" x14ac:dyDescent="0.2">
      <c r="B465" s="10">
        <v>415</v>
      </c>
      <c r="C465" s="9">
        <v>77.19091387138846</v>
      </c>
      <c r="D465" s="9">
        <v>61.752731097110768</v>
      </c>
      <c r="E465" s="9">
        <v>0</v>
      </c>
      <c r="F465" s="9">
        <v>0</v>
      </c>
      <c r="G465">
        <f t="shared" si="9"/>
        <v>-0.46203198316475524</v>
      </c>
    </row>
    <row r="466" spans="2:7" x14ac:dyDescent="0.2">
      <c r="B466" s="10">
        <v>416</v>
      </c>
      <c r="C466" s="9">
        <v>80.273149916502319</v>
      </c>
      <c r="D466" s="9">
        <v>64.218519933201861</v>
      </c>
      <c r="E466" s="9">
        <v>0</v>
      </c>
      <c r="F466" s="9">
        <v>0</v>
      </c>
      <c r="G466">
        <f t="shared" si="9"/>
        <v>-0.42287854441258177</v>
      </c>
    </row>
    <row r="467" spans="2:7" x14ac:dyDescent="0.2">
      <c r="B467" s="10">
        <v>417</v>
      </c>
      <c r="C467" s="9">
        <v>164.95077491548693</v>
      </c>
      <c r="D467" s="9">
        <v>100</v>
      </c>
      <c r="E467" s="9">
        <v>22.039724786156864</v>
      </c>
      <c r="F467" s="9">
        <v>42.911050129330064</v>
      </c>
      <c r="G467">
        <f t="shared" si="9"/>
        <v>1.9999999999999966E-2</v>
      </c>
    </row>
    <row r="468" spans="2:7" x14ac:dyDescent="0.2">
      <c r="B468" s="10">
        <v>418</v>
      </c>
      <c r="C468" s="9">
        <v>109.28510166586616</v>
      </c>
      <c r="D468" s="9">
        <v>100</v>
      </c>
      <c r="E468" s="9">
        <v>2.5567391487895961</v>
      </c>
      <c r="F468" s="9">
        <v>6.7283625170765688</v>
      </c>
      <c r="G468">
        <f t="shared" si="9"/>
        <v>1.9999999999999966E-2</v>
      </c>
    </row>
    <row r="469" spans="2:7" x14ac:dyDescent="0.2">
      <c r="B469" s="10">
        <v>419</v>
      </c>
      <c r="C469" s="9">
        <v>218.12282196653931</v>
      </c>
      <c r="D469" s="9">
        <v>100</v>
      </c>
      <c r="E469" s="9">
        <v>40.649941254025194</v>
      </c>
      <c r="F469" s="9">
        <v>77.472880712514112</v>
      </c>
      <c r="G469">
        <f t="shared" si="9"/>
        <v>1.9999999999999966E-2</v>
      </c>
    </row>
    <row r="470" spans="2:7" x14ac:dyDescent="0.2">
      <c r="B470" s="10">
        <v>420</v>
      </c>
      <c r="C470" s="9">
        <v>132.04997076079738</v>
      </c>
      <c r="D470" s="9">
        <v>100</v>
      </c>
      <c r="E470" s="9">
        <v>10.524443332015521</v>
      </c>
      <c r="F470" s="9">
        <v>21.525527428781857</v>
      </c>
      <c r="G470">
        <f t="shared" si="9"/>
        <v>1.9999999999999966E-2</v>
      </c>
    </row>
    <row r="471" spans="2:7" x14ac:dyDescent="0.2">
      <c r="B471" s="10">
        <v>421</v>
      </c>
      <c r="C471" s="9">
        <v>100.1869635971637</v>
      </c>
      <c r="D471" s="9">
        <v>100</v>
      </c>
      <c r="E471" s="9">
        <v>-0.6276091752562678</v>
      </c>
      <c r="F471" s="9">
        <v>0.81457277241996451</v>
      </c>
      <c r="G471">
        <f t="shared" si="9"/>
        <v>1.9999999999999966E-2</v>
      </c>
    </row>
    <row r="472" spans="2:7" x14ac:dyDescent="0.2">
      <c r="B472" s="10">
        <v>422</v>
      </c>
      <c r="C472" s="9">
        <v>88.127006559220106</v>
      </c>
      <c r="D472" s="9">
        <v>70.501605247376091</v>
      </c>
      <c r="E472" s="9">
        <v>0</v>
      </c>
      <c r="F472" s="9">
        <v>0</v>
      </c>
      <c r="G472">
        <f t="shared" si="9"/>
        <v>-0.32953470696276133</v>
      </c>
    </row>
    <row r="473" spans="2:7" x14ac:dyDescent="0.2">
      <c r="B473" s="10">
        <v>423</v>
      </c>
      <c r="C473" s="9">
        <v>176.11796375533712</v>
      </c>
      <c r="D473" s="9">
        <v>100</v>
      </c>
      <c r="E473" s="9">
        <v>25.948240880104429</v>
      </c>
      <c r="F473" s="9">
        <v>50.169722875232686</v>
      </c>
      <c r="G473">
        <f t="shared" si="9"/>
        <v>1.9999999999999966E-2</v>
      </c>
    </row>
    <row r="474" spans="2:7" x14ac:dyDescent="0.2">
      <c r="B474" s="10">
        <v>424</v>
      </c>
      <c r="C474" s="9">
        <v>198.18091069855782</v>
      </c>
      <c r="D474" s="9">
        <v>100</v>
      </c>
      <c r="E474" s="9">
        <v>33.670272310231674</v>
      </c>
      <c r="F474" s="9">
        <v>64.510638388326157</v>
      </c>
      <c r="G474">
        <f t="shared" si="9"/>
        <v>1.9999999999999966E-2</v>
      </c>
    </row>
    <row r="475" spans="2:7" x14ac:dyDescent="0.2">
      <c r="B475" s="10">
        <v>425</v>
      </c>
      <c r="C475" s="9">
        <v>86.756132196114265</v>
      </c>
      <c r="D475" s="9">
        <v>69.404905756891409</v>
      </c>
      <c r="E475" s="9">
        <v>0</v>
      </c>
      <c r="F475" s="9">
        <v>0</v>
      </c>
      <c r="G475">
        <f t="shared" si="9"/>
        <v>-0.3452126328339758</v>
      </c>
    </row>
    <row r="476" spans="2:7" x14ac:dyDescent="0.2">
      <c r="B476" s="10">
        <v>426</v>
      </c>
      <c r="C476" s="9">
        <v>93.126613690663504</v>
      </c>
      <c r="D476" s="9">
        <v>74.501290952530809</v>
      </c>
      <c r="E476" s="9">
        <v>0</v>
      </c>
      <c r="F476" s="9">
        <v>0</v>
      </c>
      <c r="G476">
        <f t="shared" si="9"/>
        <v>-0.27435373253081941</v>
      </c>
    </row>
    <row r="477" spans="2:7" x14ac:dyDescent="0.2">
      <c r="B477" s="10">
        <v>427</v>
      </c>
      <c r="C477" s="9">
        <v>114.12128079858552</v>
      </c>
      <c r="D477" s="9">
        <v>100</v>
      </c>
      <c r="E477" s="9">
        <v>4.2494018452413691</v>
      </c>
      <c r="F477" s="9">
        <v>9.8718789533441473</v>
      </c>
      <c r="G477">
        <f t="shared" si="9"/>
        <v>1.9999999999999966E-2</v>
      </c>
    </row>
    <row r="478" spans="2:7" x14ac:dyDescent="0.2">
      <c r="B478" s="10">
        <v>428</v>
      </c>
      <c r="C478" s="9">
        <v>103.59508576126011</v>
      </c>
      <c r="D478" s="9">
        <v>100</v>
      </c>
      <c r="E478" s="9">
        <v>0.56523358217747621</v>
      </c>
      <c r="F478" s="9">
        <v>3.0298521790826323</v>
      </c>
      <c r="G478">
        <f t="shared" si="9"/>
        <v>1.9999999999999966E-2</v>
      </c>
    </row>
    <row r="479" spans="2:7" x14ac:dyDescent="0.2">
      <c r="B479" s="10">
        <v>429</v>
      </c>
      <c r="C479" s="9">
        <v>139.23928095491712</v>
      </c>
      <c r="D479" s="9">
        <v>100</v>
      </c>
      <c r="E479" s="9">
        <v>13.04070189995743</v>
      </c>
      <c r="F479" s="9">
        <v>26.198579054959691</v>
      </c>
      <c r="G479">
        <f t="shared" si="9"/>
        <v>1.9999999999999966E-2</v>
      </c>
    </row>
    <row r="480" spans="2:7" x14ac:dyDescent="0.2">
      <c r="B480" s="10">
        <v>430</v>
      </c>
      <c r="C480" s="9">
        <v>119.7742339180015</v>
      </c>
      <c r="D480" s="9">
        <v>100</v>
      </c>
      <c r="E480" s="9">
        <v>6.2279354370369626</v>
      </c>
      <c r="F480" s="9">
        <v>13.546298480964538</v>
      </c>
      <c r="G480">
        <f t="shared" si="9"/>
        <v>1.9999999999999966E-2</v>
      </c>
    </row>
    <row r="481" spans="2:7" x14ac:dyDescent="0.2">
      <c r="B481" s="10">
        <v>431</v>
      </c>
      <c r="C481" s="9">
        <v>96.731886721783027</v>
      </c>
      <c r="D481" s="9">
        <v>77.385509377426416</v>
      </c>
      <c r="E481" s="9">
        <v>0</v>
      </c>
      <c r="F481" s="9">
        <v>0</v>
      </c>
      <c r="G481">
        <f t="shared" si="9"/>
        <v>-0.23637064026567689</v>
      </c>
    </row>
    <row r="482" spans="2:7" x14ac:dyDescent="0.2">
      <c r="B482" s="10">
        <v>432</v>
      </c>
      <c r="C482" s="9">
        <v>126.55093862082308</v>
      </c>
      <c r="D482" s="9">
        <v>100</v>
      </c>
      <c r="E482" s="9">
        <v>8.5997820830245146</v>
      </c>
      <c r="F482" s="9">
        <v>17.95115653779856</v>
      </c>
      <c r="G482">
        <f t="shared" si="9"/>
        <v>1.9999999999999966E-2</v>
      </c>
    </row>
    <row r="483" spans="2:7" x14ac:dyDescent="0.2">
      <c r="B483" s="10">
        <v>433</v>
      </c>
      <c r="C483" s="9">
        <v>142.94696118204422</v>
      </c>
      <c r="D483" s="9">
        <v>100</v>
      </c>
      <c r="E483" s="9">
        <v>14.338389979451915</v>
      </c>
      <c r="F483" s="9">
        <v>28.608571202592305</v>
      </c>
      <c r="G483">
        <f t="shared" si="9"/>
        <v>1.9999999999999966E-2</v>
      </c>
    </row>
    <row r="484" spans="2:7" x14ac:dyDescent="0.2">
      <c r="B484" s="10">
        <v>434</v>
      </c>
      <c r="C484" s="9">
        <v>172.50824102397735</v>
      </c>
      <c r="D484" s="9">
        <v>100</v>
      </c>
      <c r="E484" s="9">
        <v>24.684837924128509</v>
      </c>
      <c r="F484" s="9">
        <v>47.823403099848839</v>
      </c>
      <c r="G484">
        <f t="shared" si="9"/>
        <v>1.9999999999999966E-2</v>
      </c>
    </row>
    <row r="485" spans="2:7" x14ac:dyDescent="0.2">
      <c r="B485" s="10">
        <v>435</v>
      </c>
      <c r="C485" s="9">
        <v>146.30497782697699</v>
      </c>
      <c r="D485" s="9">
        <v>100</v>
      </c>
      <c r="E485" s="9">
        <v>15.513695805178385</v>
      </c>
      <c r="F485" s="9">
        <v>30.791282021798608</v>
      </c>
      <c r="G485">
        <f t="shared" si="9"/>
        <v>1.9999999999999966E-2</v>
      </c>
    </row>
    <row r="486" spans="2:7" x14ac:dyDescent="0.2">
      <c r="B486" s="10">
        <v>436</v>
      </c>
      <c r="C486" s="9">
        <v>103.6368320537814</v>
      </c>
      <c r="D486" s="9">
        <v>100</v>
      </c>
      <c r="E486" s="9">
        <v>0.57984478455992983</v>
      </c>
      <c r="F486" s="9">
        <v>3.0569872692214743</v>
      </c>
      <c r="G486">
        <f t="shared" si="9"/>
        <v>1.9999999999999966E-2</v>
      </c>
    </row>
    <row r="487" spans="2:7" x14ac:dyDescent="0.2">
      <c r="B487" s="10">
        <v>437</v>
      </c>
      <c r="C487" s="9">
        <v>148.46371838016012</v>
      </c>
      <c r="D487" s="9">
        <v>100</v>
      </c>
      <c r="E487" s="9">
        <v>16.26925499879248</v>
      </c>
      <c r="F487" s="9">
        <v>32.19446338136764</v>
      </c>
      <c r="G487">
        <f t="shared" si="9"/>
        <v>1.9999999999999966E-2</v>
      </c>
    </row>
    <row r="488" spans="2:7" x14ac:dyDescent="0.2">
      <c r="B488" s="10">
        <v>438</v>
      </c>
      <c r="C488" s="9">
        <v>115.35176074321028</v>
      </c>
      <c r="D488" s="9">
        <v>100</v>
      </c>
      <c r="E488" s="9">
        <v>4.6800698258600351</v>
      </c>
      <c r="F488" s="9">
        <v>10.671690917350244</v>
      </c>
      <c r="G488">
        <f t="shared" si="9"/>
        <v>1.9999999999999966E-2</v>
      </c>
    </row>
    <row r="489" spans="2:7" x14ac:dyDescent="0.2">
      <c r="B489" s="10">
        <v>439</v>
      </c>
      <c r="C489" s="9">
        <v>63.999166503365103</v>
      </c>
      <c r="D489" s="9">
        <v>51.199333202692081</v>
      </c>
      <c r="E489" s="9">
        <v>0</v>
      </c>
      <c r="F489" s="9">
        <v>0</v>
      </c>
      <c r="G489">
        <f t="shared" si="9"/>
        <v>-0.64944367741235465</v>
      </c>
    </row>
    <row r="490" spans="2:7" x14ac:dyDescent="0.2">
      <c r="B490" s="10">
        <v>440</v>
      </c>
      <c r="C490" s="9">
        <v>138.19213853877136</v>
      </c>
      <c r="D490" s="9">
        <v>100</v>
      </c>
      <c r="E490" s="9">
        <v>12.674202054306413</v>
      </c>
      <c r="F490" s="9">
        <v>25.517936484464947</v>
      </c>
      <c r="G490">
        <f t="shared" si="9"/>
        <v>1.9999999999999966E-2</v>
      </c>
    </row>
    <row r="491" spans="2:7" x14ac:dyDescent="0.2">
      <c r="B491" s="10">
        <v>441</v>
      </c>
      <c r="C491" s="9">
        <v>96.105626957800965</v>
      </c>
      <c r="D491" s="9">
        <v>76.884501566240772</v>
      </c>
      <c r="E491" s="9">
        <v>0</v>
      </c>
      <c r="F491" s="9">
        <v>0</v>
      </c>
      <c r="G491">
        <f t="shared" si="9"/>
        <v>-0.24286586988932862</v>
      </c>
    </row>
    <row r="492" spans="2:7" x14ac:dyDescent="0.2">
      <c r="B492" s="10">
        <v>442</v>
      </c>
      <c r="C492" s="9">
        <v>113.82328744090438</v>
      </c>
      <c r="D492" s="9">
        <v>100</v>
      </c>
      <c r="E492" s="9">
        <v>4.1451041700529716</v>
      </c>
      <c r="F492" s="9">
        <v>9.6781832708514095</v>
      </c>
      <c r="G492">
        <f t="shared" si="9"/>
        <v>1.9999999999999966E-2</v>
      </c>
    </row>
    <row r="493" spans="2:7" x14ac:dyDescent="0.2">
      <c r="B493" s="10">
        <v>443</v>
      </c>
      <c r="C493" s="9">
        <v>123.41595894277381</v>
      </c>
      <c r="D493" s="9">
        <v>100</v>
      </c>
      <c r="E493" s="9">
        <v>7.5025391957072722</v>
      </c>
      <c r="F493" s="9">
        <v>15.913419747066541</v>
      </c>
      <c r="G493">
        <f t="shared" si="9"/>
        <v>1.9999999999999966E-2</v>
      </c>
    </row>
    <row r="494" spans="2:7" x14ac:dyDescent="0.2">
      <c r="B494" s="10">
        <v>444</v>
      </c>
      <c r="C494" s="9">
        <v>127.7459426343336</v>
      </c>
      <c r="D494" s="9">
        <v>100</v>
      </c>
      <c r="E494" s="9">
        <v>9.0180334877531987</v>
      </c>
      <c r="F494" s="9">
        <v>18.727909146580402</v>
      </c>
      <c r="G494">
        <f t="shared" si="9"/>
        <v>1.9999999999999966E-2</v>
      </c>
    </row>
    <row r="495" spans="2:7" x14ac:dyDescent="0.2">
      <c r="B495" s="10">
        <v>445</v>
      </c>
      <c r="C495" s="9">
        <v>111.39315077602024</v>
      </c>
      <c r="D495" s="9">
        <v>100</v>
      </c>
      <c r="E495" s="9">
        <v>3.2945563373435203</v>
      </c>
      <c r="F495" s="9">
        <v>8.0985944386767148</v>
      </c>
      <c r="G495">
        <f t="shared" si="9"/>
        <v>1.9999999999999966E-2</v>
      </c>
    </row>
    <row r="496" spans="2:7" x14ac:dyDescent="0.2">
      <c r="B496" s="10">
        <v>446</v>
      </c>
      <c r="C496" s="9">
        <v>86.486396682921779</v>
      </c>
      <c r="D496" s="9">
        <v>69.189117346337426</v>
      </c>
      <c r="E496" s="9">
        <v>0</v>
      </c>
      <c r="F496" s="9">
        <v>0</v>
      </c>
      <c r="G496">
        <f t="shared" si="9"/>
        <v>-0.34832659951296363</v>
      </c>
    </row>
    <row r="497" spans="2:7" x14ac:dyDescent="0.2">
      <c r="B497" s="10">
        <v>447</v>
      </c>
      <c r="C497" s="9">
        <v>101.43876861463377</v>
      </c>
      <c r="D497" s="9">
        <v>100</v>
      </c>
      <c r="E497" s="9">
        <v>-0.18947741914174115</v>
      </c>
      <c r="F497" s="9">
        <v>1.628246033775514</v>
      </c>
      <c r="G497">
        <f t="shared" si="9"/>
        <v>1.9999999999999966E-2</v>
      </c>
    </row>
    <row r="498" spans="2:7" x14ac:dyDescent="0.2">
      <c r="B498" s="10">
        <v>448</v>
      </c>
      <c r="C498" s="9">
        <v>170.79320972233768</v>
      </c>
      <c r="D498" s="9">
        <v>100</v>
      </c>
      <c r="E498" s="9">
        <v>24.084576968554625</v>
      </c>
      <c r="F498" s="9">
        <v>46.70863275378305</v>
      </c>
      <c r="G498">
        <f t="shared" si="9"/>
        <v>1.9999999999999966E-2</v>
      </c>
    </row>
    <row r="499" spans="2:7" x14ac:dyDescent="0.2">
      <c r="B499" s="10">
        <v>449</v>
      </c>
      <c r="C499" s="9">
        <v>140.38316935838324</v>
      </c>
      <c r="D499" s="9">
        <v>100</v>
      </c>
      <c r="E499" s="9">
        <v>13.441062841170572</v>
      </c>
      <c r="F499" s="9">
        <v>26.942106517212672</v>
      </c>
      <c r="G499">
        <f t="shared" ref="G499:G562" si="10">LN(D499/$C$7)</f>
        <v>1.9999999999999966E-2</v>
      </c>
    </row>
    <row r="500" spans="2:7" x14ac:dyDescent="0.2">
      <c r="B500" s="10">
        <v>450</v>
      </c>
      <c r="C500" s="9">
        <v>96.793170960699285</v>
      </c>
      <c r="D500" s="9">
        <v>77.434536768559425</v>
      </c>
      <c r="E500" s="9">
        <v>0</v>
      </c>
      <c r="F500" s="9">
        <v>0</v>
      </c>
      <c r="G500">
        <f t="shared" si="10"/>
        <v>-0.23573729343505223</v>
      </c>
    </row>
    <row r="501" spans="2:7" x14ac:dyDescent="0.2">
      <c r="B501" s="10">
        <v>451</v>
      </c>
      <c r="C501" s="9">
        <v>146.48778846468483</v>
      </c>
      <c r="D501" s="9">
        <v>100</v>
      </c>
      <c r="E501" s="9">
        <v>15.577679528376127</v>
      </c>
      <c r="F501" s="9">
        <v>30.910108936308699</v>
      </c>
      <c r="G501">
        <f t="shared" si="10"/>
        <v>1.9999999999999966E-2</v>
      </c>
    </row>
    <row r="502" spans="2:7" x14ac:dyDescent="0.2">
      <c r="B502" s="10">
        <v>452</v>
      </c>
      <c r="C502" s="9">
        <v>106.91799542804165</v>
      </c>
      <c r="D502" s="9">
        <v>100</v>
      </c>
      <c r="E502" s="9">
        <v>1.7282519655510156</v>
      </c>
      <c r="F502" s="9">
        <v>5.1897434624906342</v>
      </c>
      <c r="G502">
        <f t="shared" si="10"/>
        <v>1.9999999999999966E-2</v>
      </c>
    </row>
    <row r="503" spans="2:7" x14ac:dyDescent="0.2">
      <c r="B503" s="10">
        <v>453</v>
      </c>
      <c r="C503" s="9">
        <v>88.555024952394575</v>
      </c>
      <c r="D503" s="9">
        <v>70.844019961915663</v>
      </c>
      <c r="E503" s="9">
        <v>0</v>
      </c>
      <c r="F503" s="9">
        <v>0</v>
      </c>
      <c r="G503">
        <f t="shared" si="10"/>
        <v>-0.32468962762089715</v>
      </c>
    </row>
    <row r="504" spans="2:7" x14ac:dyDescent="0.2">
      <c r="B504" s="10">
        <v>454</v>
      </c>
      <c r="C504" s="9">
        <v>119.39640953586455</v>
      </c>
      <c r="D504" s="9">
        <v>100</v>
      </c>
      <c r="E504" s="9">
        <v>6.0956969032890305</v>
      </c>
      <c r="F504" s="9">
        <v>13.300712632575518</v>
      </c>
      <c r="G504">
        <f t="shared" si="10"/>
        <v>1.9999999999999966E-2</v>
      </c>
    </row>
    <row r="505" spans="2:7" x14ac:dyDescent="0.2">
      <c r="B505" s="10">
        <v>455</v>
      </c>
      <c r="C505" s="9">
        <v>100.31822938448943</v>
      </c>
      <c r="D505" s="9">
        <v>100</v>
      </c>
      <c r="E505" s="9">
        <v>-0.58166614969226194</v>
      </c>
      <c r="F505" s="9">
        <v>0.89989553418168944</v>
      </c>
      <c r="G505">
        <f t="shared" si="10"/>
        <v>1.9999999999999966E-2</v>
      </c>
    </row>
    <row r="506" spans="2:7" x14ac:dyDescent="0.2">
      <c r="B506" s="10">
        <v>456</v>
      </c>
      <c r="C506" s="9">
        <v>128.41650565454609</v>
      </c>
      <c r="D506" s="9">
        <v>100</v>
      </c>
      <c r="E506" s="9">
        <v>9.2527305448275676</v>
      </c>
      <c r="F506" s="9">
        <v>19.163775109718518</v>
      </c>
      <c r="G506">
        <f t="shared" si="10"/>
        <v>1.9999999999999966E-2</v>
      </c>
    </row>
    <row r="507" spans="2:7" x14ac:dyDescent="0.2">
      <c r="B507" s="10">
        <v>457</v>
      </c>
      <c r="C507" s="9">
        <v>75.418978968711031</v>
      </c>
      <c r="D507" s="9">
        <v>60.335183174968826</v>
      </c>
      <c r="E507" s="9">
        <v>0</v>
      </c>
      <c r="F507" s="9">
        <v>0</v>
      </c>
      <c r="G507">
        <f t="shared" si="10"/>
        <v>-0.48525478350179529</v>
      </c>
    </row>
    <row r="508" spans="2:7" x14ac:dyDescent="0.2">
      <c r="B508" s="10">
        <v>458</v>
      </c>
      <c r="C508" s="9">
        <v>98.24538419964847</v>
      </c>
      <c r="D508" s="9">
        <v>78.596307359718779</v>
      </c>
      <c r="E508" s="9">
        <v>0</v>
      </c>
      <c r="F508" s="9">
        <v>0</v>
      </c>
      <c r="G508">
        <f t="shared" si="10"/>
        <v>-0.22084546781278225</v>
      </c>
    </row>
    <row r="509" spans="2:7" x14ac:dyDescent="0.2">
      <c r="B509" s="10">
        <v>459</v>
      </c>
      <c r="C509" s="9">
        <v>112.01244243723826</v>
      </c>
      <c r="D509" s="9">
        <v>100</v>
      </c>
      <c r="E509" s="9">
        <v>3.5113084187698305</v>
      </c>
      <c r="F509" s="9">
        <v>8.5011340184684325</v>
      </c>
      <c r="G509">
        <f t="shared" si="10"/>
        <v>1.9999999999999966E-2</v>
      </c>
    </row>
    <row r="510" spans="2:7" x14ac:dyDescent="0.2">
      <c r="B510" s="10">
        <v>460</v>
      </c>
      <c r="C510" s="9">
        <v>116.51243969120553</v>
      </c>
      <c r="D510" s="9">
        <v>100</v>
      </c>
      <c r="E510" s="9">
        <v>5.0863074576583731</v>
      </c>
      <c r="F510" s="9">
        <v>11.426132233547156</v>
      </c>
      <c r="G510">
        <f t="shared" si="10"/>
        <v>1.9999999999999966E-2</v>
      </c>
    </row>
    <row r="511" spans="2:7" x14ac:dyDescent="0.2">
      <c r="B511" s="10">
        <v>461</v>
      </c>
      <c r="C511" s="9">
        <v>104.33513172715909</v>
      </c>
      <c r="D511" s="9">
        <v>100</v>
      </c>
      <c r="E511" s="9">
        <v>0.82424967024212137</v>
      </c>
      <c r="F511" s="9">
        <v>3.510882056916973</v>
      </c>
      <c r="G511">
        <f t="shared" si="10"/>
        <v>1.9999999999999966E-2</v>
      </c>
    </row>
    <row r="512" spans="2:7" x14ac:dyDescent="0.2">
      <c r="B512" s="10">
        <v>462</v>
      </c>
      <c r="C512" s="9">
        <v>169.74806078826714</v>
      </c>
      <c r="D512" s="9">
        <v>100</v>
      </c>
      <c r="E512" s="9">
        <v>23.718774841629937</v>
      </c>
      <c r="F512" s="9">
        <v>46.029285946637202</v>
      </c>
      <c r="G512">
        <f t="shared" si="10"/>
        <v>1.9999999999999966E-2</v>
      </c>
    </row>
    <row r="513" spans="2:7" x14ac:dyDescent="0.2">
      <c r="B513" s="10">
        <v>463</v>
      </c>
      <c r="C513" s="9">
        <v>107.36862199533212</v>
      </c>
      <c r="D513" s="9">
        <v>100</v>
      </c>
      <c r="E513" s="9">
        <v>1.8859712641026802</v>
      </c>
      <c r="F513" s="9">
        <v>5.4826507312294392</v>
      </c>
      <c r="G513">
        <f t="shared" si="10"/>
        <v>1.9999999999999966E-2</v>
      </c>
    </row>
    <row r="514" spans="2:7" x14ac:dyDescent="0.2">
      <c r="B514" s="10">
        <v>464</v>
      </c>
      <c r="C514" s="9">
        <v>118.35224746970894</v>
      </c>
      <c r="D514" s="9">
        <v>100</v>
      </c>
      <c r="E514" s="9">
        <v>5.7302401801345679</v>
      </c>
      <c r="F514" s="9">
        <v>12.622007289574373</v>
      </c>
      <c r="G514">
        <f t="shared" si="10"/>
        <v>1.9999999999999966E-2</v>
      </c>
    </row>
    <row r="515" spans="2:7" x14ac:dyDescent="0.2">
      <c r="B515" s="10">
        <v>465</v>
      </c>
      <c r="C515" s="9">
        <v>127.24684201115228</v>
      </c>
      <c r="D515" s="9">
        <v>100</v>
      </c>
      <c r="E515" s="9">
        <v>8.843348269639737</v>
      </c>
      <c r="F515" s="9">
        <v>18.403493741512545</v>
      </c>
      <c r="G515">
        <f t="shared" si="10"/>
        <v>1.9999999999999966E-2</v>
      </c>
    </row>
    <row r="516" spans="2:7" x14ac:dyDescent="0.2">
      <c r="B516" s="10">
        <v>466</v>
      </c>
      <c r="C516" s="9">
        <v>118.44660354891177</v>
      </c>
      <c r="D516" s="9">
        <v>100</v>
      </c>
      <c r="E516" s="9">
        <v>5.7632648078555562</v>
      </c>
      <c r="F516" s="9">
        <v>12.683338741056211</v>
      </c>
      <c r="G516">
        <f t="shared" si="10"/>
        <v>1.9999999999999966E-2</v>
      </c>
    </row>
    <row r="517" spans="2:7" x14ac:dyDescent="0.2">
      <c r="B517" s="10">
        <v>467</v>
      </c>
      <c r="C517" s="9">
        <v>99.102198172806695</v>
      </c>
      <c r="D517" s="9">
        <v>79.281758538245356</v>
      </c>
      <c r="E517" s="9">
        <v>0</v>
      </c>
      <c r="F517" s="9">
        <v>0</v>
      </c>
      <c r="G517">
        <f t="shared" si="10"/>
        <v>-0.21216211485205191</v>
      </c>
    </row>
    <row r="518" spans="2:7" x14ac:dyDescent="0.2">
      <c r="B518" s="10">
        <v>468</v>
      </c>
      <c r="C518" s="9">
        <v>78.151326284693283</v>
      </c>
      <c r="D518" s="9">
        <v>62.521061027754627</v>
      </c>
      <c r="E518" s="9">
        <v>0</v>
      </c>
      <c r="F518" s="9">
        <v>0</v>
      </c>
      <c r="G518">
        <f t="shared" si="10"/>
        <v>-0.44966670956547189</v>
      </c>
    </row>
    <row r="519" spans="2:7" x14ac:dyDescent="0.2">
      <c r="B519" s="10">
        <v>469</v>
      </c>
      <c r="C519" s="9">
        <v>152.18374224845323</v>
      </c>
      <c r="D519" s="9">
        <v>100</v>
      </c>
      <c r="E519" s="9">
        <v>17.571263352695066</v>
      </c>
      <c r="F519" s="9">
        <v>34.612478895758159</v>
      </c>
      <c r="G519">
        <f t="shared" si="10"/>
        <v>1.9999999999999966E-2</v>
      </c>
    </row>
    <row r="520" spans="2:7" x14ac:dyDescent="0.2">
      <c r="B520" s="10">
        <v>470</v>
      </c>
      <c r="C520" s="9">
        <v>119.08974949719105</v>
      </c>
      <c r="D520" s="9">
        <v>100</v>
      </c>
      <c r="E520" s="9">
        <v>5.9883658897533056</v>
      </c>
      <c r="F520" s="9">
        <v>13.101383607437745</v>
      </c>
      <c r="G520">
        <f t="shared" si="10"/>
        <v>1.9999999999999966E-2</v>
      </c>
    </row>
    <row r="521" spans="2:7" x14ac:dyDescent="0.2">
      <c r="B521" s="10">
        <v>471</v>
      </c>
      <c r="C521" s="9">
        <v>108.72021065605647</v>
      </c>
      <c r="D521" s="9">
        <v>100</v>
      </c>
      <c r="E521" s="9">
        <v>2.359027295356201</v>
      </c>
      <c r="F521" s="9">
        <v>6.3611833607002648</v>
      </c>
      <c r="G521">
        <f t="shared" si="10"/>
        <v>1.9999999999999966E-2</v>
      </c>
    </row>
    <row r="522" spans="2:7" x14ac:dyDescent="0.2">
      <c r="B522" s="10">
        <v>472</v>
      </c>
      <c r="C522" s="9">
        <v>136.38172981309654</v>
      </c>
      <c r="D522" s="9">
        <v>100</v>
      </c>
      <c r="E522" s="9">
        <v>12.040559000320227</v>
      </c>
      <c r="F522" s="9">
        <v>24.341170812776312</v>
      </c>
      <c r="G522">
        <f t="shared" si="10"/>
        <v>1.9999999999999966E-2</v>
      </c>
    </row>
    <row r="523" spans="2:7" x14ac:dyDescent="0.2">
      <c r="B523" s="10">
        <v>473</v>
      </c>
      <c r="C523" s="9">
        <v>119.59789321194589</v>
      </c>
      <c r="D523" s="9">
        <v>100</v>
      </c>
      <c r="E523" s="9">
        <v>6.166216189917499</v>
      </c>
      <c r="F523" s="9">
        <v>13.431677022028389</v>
      </c>
      <c r="G523">
        <f t="shared" si="10"/>
        <v>1.9999999999999966E-2</v>
      </c>
    </row>
    <row r="524" spans="2:7" x14ac:dyDescent="0.2">
      <c r="B524" s="10">
        <v>474</v>
      </c>
      <c r="C524" s="9">
        <v>76.536820600427703</v>
      </c>
      <c r="D524" s="9">
        <v>61.229456480342165</v>
      </c>
      <c r="E524" s="9">
        <v>0</v>
      </c>
      <c r="F524" s="9">
        <v>0</v>
      </c>
      <c r="G524">
        <f t="shared" si="10"/>
        <v>-0.47054179722646894</v>
      </c>
    </row>
    <row r="525" spans="2:7" x14ac:dyDescent="0.2">
      <c r="B525" s="10">
        <v>475</v>
      </c>
      <c r="C525" s="9">
        <v>112.96164462121834</v>
      </c>
      <c r="D525" s="9">
        <v>100</v>
      </c>
      <c r="E525" s="9">
        <v>3.8435291831628571</v>
      </c>
      <c r="F525" s="9">
        <v>9.118115438055483</v>
      </c>
      <c r="G525">
        <f t="shared" si="10"/>
        <v>1.9999999999999966E-2</v>
      </c>
    </row>
    <row r="526" spans="2:7" x14ac:dyDescent="0.2">
      <c r="B526" s="10">
        <v>476</v>
      </c>
      <c r="C526" s="9">
        <v>100.21038295587978</v>
      </c>
      <c r="D526" s="9">
        <v>100</v>
      </c>
      <c r="E526" s="9">
        <v>-0.61941239970563866</v>
      </c>
      <c r="F526" s="9">
        <v>0.8297953555854185</v>
      </c>
      <c r="G526">
        <f t="shared" si="10"/>
        <v>1.9999999999999966E-2</v>
      </c>
    </row>
    <row r="527" spans="2:7" x14ac:dyDescent="0.2">
      <c r="B527" s="10">
        <v>477</v>
      </c>
      <c r="C527" s="9">
        <v>113.15988708183886</v>
      </c>
      <c r="D527" s="9">
        <v>100</v>
      </c>
      <c r="E527" s="9">
        <v>3.9129140443800394</v>
      </c>
      <c r="F527" s="9">
        <v>9.2469730374588206</v>
      </c>
      <c r="G527">
        <f t="shared" si="10"/>
        <v>1.9999999999999966E-2</v>
      </c>
    </row>
    <row r="528" spans="2:7" x14ac:dyDescent="0.2">
      <c r="B528" s="10">
        <v>478</v>
      </c>
      <c r="C528" s="9">
        <v>108.61879929063905</v>
      </c>
      <c r="D528" s="9">
        <v>100</v>
      </c>
      <c r="E528" s="9">
        <v>2.3235333174601043</v>
      </c>
      <c r="F528" s="9">
        <v>6.2952659731789424</v>
      </c>
      <c r="G528">
        <f t="shared" si="10"/>
        <v>1.9999999999999966E-2</v>
      </c>
    </row>
    <row r="529" spans="2:7" x14ac:dyDescent="0.2">
      <c r="B529" s="10">
        <v>479</v>
      </c>
      <c r="C529" s="9">
        <v>98.907164588499072</v>
      </c>
      <c r="D529" s="9">
        <v>79.125731670799254</v>
      </c>
      <c r="E529" s="9">
        <v>0</v>
      </c>
      <c r="F529" s="9">
        <v>0</v>
      </c>
      <c r="G529">
        <f t="shared" si="10"/>
        <v>-0.21413205854218545</v>
      </c>
    </row>
    <row r="530" spans="2:7" x14ac:dyDescent="0.2">
      <c r="B530" s="10">
        <v>480</v>
      </c>
      <c r="C530" s="9">
        <v>129.81153626263938</v>
      </c>
      <c r="D530" s="9">
        <v>100</v>
      </c>
      <c r="E530" s="9">
        <v>9.7409912576602196</v>
      </c>
      <c r="F530" s="9">
        <v>20.070545004979159</v>
      </c>
      <c r="G530">
        <f t="shared" si="10"/>
        <v>1.9999999999999966E-2</v>
      </c>
    </row>
    <row r="531" spans="2:7" x14ac:dyDescent="0.2">
      <c r="B531" s="10">
        <v>481</v>
      </c>
      <c r="C531" s="9">
        <v>140.6552583207056</v>
      </c>
      <c r="D531" s="9">
        <v>100</v>
      </c>
      <c r="E531" s="9">
        <v>13.536293977983398</v>
      </c>
      <c r="F531" s="9">
        <v>27.118964342722201</v>
      </c>
      <c r="G531">
        <f t="shared" si="10"/>
        <v>1.9999999999999966E-2</v>
      </c>
    </row>
    <row r="532" spans="2:7" x14ac:dyDescent="0.2">
      <c r="B532" s="10">
        <v>482</v>
      </c>
      <c r="C532" s="9">
        <v>128.49811101477732</v>
      </c>
      <c r="D532" s="9">
        <v>100</v>
      </c>
      <c r="E532" s="9">
        <v>9.2812924209084997</v>
      </c>
      <c r="F532" s="9">
        <v>19.216818593868823</v>
      </c>
      <c r="G532">
        <f t="shared" si="10"/>
        <v>1.9999999999999966E-2</v>
      </c>
    </row>
    <row r="533" spans="2:7" x14ac:dyDescent="0.2">
      <c r="B533" s="10">
        <v>483</v>
      </c>
      <c r="C533" s="9">
        <v>107.00363177595111</v>
      </c>
      <c r="D533" s="9">
        <v>100</v>
      </c>
      <c r="E533" s="9">
        <v>1.7582246873193255</v>
      </c>
      <c r="F533" s="9">
        <v>5.2454070886317812</v>
      </c>
      <c r="G533">
        <f t="shared" si="10"/>
        <v>1.9999999999999966E-2</v>
      </c>
    </row>
    <row r="534" spans="2:7" x14ac:dyDescent="0.2">
      <c r="B534" s="10">
        <v>484</v>
      </c>
      <c r="C534" s="9">
        <v>125.56612181485045</v>
      </c>
      <c r="D534" s="9">
        <v>100</v>
      </c>
      <c r="E534" s="9">
        <v>8.2550962009340942</v>
      </c>
      <c r="F534" s="9">
        <v>17.311025613916353</v>
      </c>
      <c r="G534">
        <f t="shared" si="10"/>
        <v>1.9999999999999966E-2</v>
      </c>
    </row>
    <row r="535" spans="2:7" x14ac:dyDescent="0.2">
      <c r="B535" s="10">
        <v>485</v>
      </c>
      <c r="C535" s="9">
        <v>108.99600167296344</v>
      </c>
      <c r="D535" s="9">
        <v>100</v>
      </c>
      <c r="E535" s="9">
        <v>2.4555541512736436</v>
      </c>
      <c r="F535" s="9">
        <v>6.540447521689801</v>
      </c>
      <c r="G535">
        <f t="shared" si="10"/>
        <v>1.9999999999999966E-2</v>
      </c>
    </row>
    <row r="536" spans="2:7" x14ac:dyDescent="0.2">
      <c r="B536" s="10">
        <v>486</v>
      </c>
      <c r="C536" s="9">
        <v>124.07548370840928</v>
      </c>
      <c r="D536" s="9">
        <v>100</v>
      </c>
      <c r="E536" s="9">
        <v>7.7333728636796861</v>
      </c>
      <c r="F536" s="9">
        <v>16.342110844729593</v>
      </c>
      <c r="G536">
        <f t="shared" si="10"/>
        <v>1.9999999999999966E-2</v>
      </c>
    </row>
    <row r="537" spans="2:7" x14ac:dyDescent="0.2">
      <c r="B537" s="10">
        <v>487</v>
      </c>
      <c r="C537" s="9">
        <v>79.785388305967317</v>
      </c>
      <c r="D537" s="9">
        <v>63.82831064477385</v>
      </c>
      <c r="E537" s="9">
        <v>0</v>
      </c>
      <c r="F537" s="9">
        <v>0</v>
      </c>
      <c r="G537">
        <f t="shared" si="10"/>
        <v>-0.42897335354735705</v>
      </c>
    </row>
    <row r="538" spans="2:7" x14ac:dyDescent="0.2">
      <c r="B538" s="10">
        <v>488</v>
      </c>
      <c r="C538" s="9">
        <v>172.77440085382946</v>
      </c>
      <c r="D538" s="9">
        <v>100</v>
      </c>
      <c r="E538" s="9">
        <v>24.77799386457675</v>
      </c>
      <c r="F538" s="9">
        <v>47.996406989252712</v>
      </c>
      <c r="G538">
        <f t="shared" si="10"/>
        <v>1.9999999999999966E-2</v>
      </c>
    </row>
    <row r="539" spans="2:7" x14ac:dyDescent="0.2">
      <c r="B539" s="10">
        <v>489</v>
      </c>
      <c r="C539" s="9">
        <v>123.3818924533642</v>
      </c>
      <c r="D539" s="9">
        <v>100</v>
      </c>
      <c r="E539" s="9">
        <v>7.4906159244139081</v>
      </c>
      <c r="F539" s="9">
        <v>15.891276528950293</v>
      </c>
      <c r="G539">
        <f t="shared" si="10"/>
        <v>1.9999999999999966E-2</v>
      </c>
    </row>
    <row r="540" spans="2:7" x14ac:dyDescent="0.2">
      <c r="B540" s="10">
        <v>490</v>
      </c>
      <c r="C540" s="9">
        <v>101.20660735959619</v>
      </c>
      <c r="D540" s="9">
        <v>100</v>
      </c>
      <c r="E540" s="9">
        <v>-0.27073385840489478</v>
      </c>
      <c r="F540" s="9">
        <v>1.4773412180010859</v>
      </c>
      <c r="G540">
        <f t="shared" si="10"/>
        <v>1.9999999999999966E-2</v>
      </c>
    </row>
    <row r="541" spans="2:7" x14ac:dyDescent="0.2">
      <c r="B541" s="10">
        <v>491</v>
      </c>
      <c r="C541" s="9">
        <v>164.31629620735586</v>
      </c>
      <c r="D541" s="9">
        <v>100</v>
      </c>
      <c r="E541" s="9">
        <v>21.817657238310989</v>
      </c>
      <c r="F541" s="9">
        <v>42.498638969044876</v>
      </c>
      <c r="G541">
        <f t="shared" si="10"/>
        <v>1.9999999999999966E-2</v>
      </c>
    </row>
    <row r="542" spans="2:7" x14ac:dyDescent="0.2">
      <c r="B542" s="10">
        <v>492</v>
      </c>
      <c r="C542" s="9">
        <v>137.85073860556096</v>
      </c>
      <c r="D542" s="9">
        <v>100</v>
      </c>
      <c r="E542" s="9">
        <v>12.554712077682774</v>
      </c>
      <c r="F542" s="9">
        <v>25.29602652787819</v>
      </c>
      <c r="G542">
        <f t="shared" si="10"/>
        <v>1.9999999999999966E-2</v>
      </c>
    </row>
    <row r="543" spans="2:7" x14ac:dyDescent="0.2">
      <c r="B543" s="10">
        <v>493</v>
      </c>
      <c r="C543" s="9">
        <v>120.87092499179049</v>
      </c>
      <c r="D543" s="9">
        <v>100</v>
      </c>
      <c r="E543" s="9">
        <v>6.6117773128631088</v>
      </c>
      <c r="F543" s="9">
        <v>14.259147678927381</v>
      </c>
      <c r="G543">
        <f t="shared" si="10"/>
        <v>1.9999999999999966E-2</v>
      </c>
    </row>
    <row r="544" spans="2:7" x14ac:dyDescent="0.2">
      <c r="B544" s="10">
        <v>494</v>
      </c>
      <c r="C544" s="9">
        <v>126.03302799724545</v>
      </c>
      <c r="D544" s="9">
        <v>100</v>
      </c>
      <c r="E544" s="9">
        <v>8.4185133647723465</v>
      </c>
      <c r="F544" s="9">
        <v>17.61451463247311</v>
      </c>
      <c r="G544">
        <f t="shared" si="10"/>
        <v>1.9999999999999966E-2</v>
      </c>
    </row>
    <row r="545" spans="2:7" x14ac:dyDescent="0.2">
      <c r="B545" s="10">
        <v>495</v>
      </c>
      <c r="C545" s="9">
        <v>106.31866794325551</v>
      </c>
      <c r="D545" s="9">
        <v>100</v>
      </c>
      <c r="E545" s="9">
        <v>1.5184873458758652</v>
      </c>
      <c r="F545" s="9">
        <v>4.8001805973796401</v>
      </c>
      <c r="G545">
        <f t="shared" si="10"/>
        <v>1.9999999999999966E-2</v>
      </c>
    </row>
    <row r="546" spans="2:7" x14ac:dyDescent="0.2">
      <c r="B546" s="10">
        <v>496</v>
      </c>
      <c r="C546" s="9">
        <v>89.888760002226093</v>
      </c>
      <c r="D546" s="9">
        <v>71.911008001780871</v>
      </c>
      <c r="E546" s="9">
        <v>0</v>
      </c>
      <c r="F546" s="9">
        <v>0</v>
      </c>
      <c r="G546">
        <f t="shared" si="10"/>
        <v>-0.30974083142526609</v>
      </c>
    </row>
    <row r="547" spans="2:7" x14ac:dyDescent="0.2">
      <c r="B547" s="10">
        <v>497</v>
      </c>
      <c r="C547" s="9">
        <v>107.51875251930142</v>
      </c>
      <c r="D547" s="9">
        <v>100</v>
      </c>
      <c r="E547" s="9">
        <v>1.9385169474919335</v>
      </c>
      <c r="F547" s="9">
        <v>5.5802355718094816</v>
      </c>
      <c r="G547">
        <f t="shared" si="10"/>
        <v>1.9999999999999966E-2</v>
      </c>
    </row>
    <row r="548" spans="2:7" x14ac:dyDescent="0.2">
      <c r="B548" s="10">
        <v>498</v>
      </c>
      <c r="C548" s="9">
        <v>87.781943842631847</v>
      </c>
      <c r="D548" s="9">
        <v>70.225555074105472</v>
      </c>
      <c r="E548" s="9">
        <v>0</v>
      </c>
      <c r="F548" s="9">
        <v>0</v>
      </c>
      <c r="G548">
        <f t="shared" si="10"/>
        <v>-0.33345790880537729</v>
      </c>
    </row>
    <row r="549" spans="2:7" x14ac:dyDescent="0.2">
      <c r="B549" s="10">
        <v>499</v>
      </c>
      <c r="C549" s="9">
        <v>75.581239794374525</v>
      </c>
      <c r="D549" s="9">
        <v>60.464991835499617</v>
      </c>
      <c r="E549" s="9">
        <v>0</v>
      </c>
      <c r="F549" s="9">
        <v>0</v>
      </c>
      <c r="G549">
        <f t="shared" si="10"/>
        <v>-0.48310563577939697</v>
      </c>
    </row>
    <row r="550" spans="2:7" x14ac:dyDescent="0.2">
      <c r="B550" s="10">
        <v>500</v>
      </c>
      <c r="C550" s="9">
        <v>101.73684288028193</v>
      </c>
      <c r="D550" s="9">
        <v>100</v>
      </c>
      <c r="E550" s="9">
        <v>-8.5151426164887301E-2</v>
      </c>
      <c r="F550" s="9">
        <v>1.821994306446814</v>
      </c>
      <c r="G550">
        <f t="shared" si="10"/>
        <v>1.9999999999999966E-2</v>
      </c>
    </row>
    <row r="551" spans="2:7" x14ac:dyDescent="0.2">
      <c r="B551" s="10">
        <v>501</v>
      </c>
      <c r="C551" s="9">
        <v>130.15983582041414</v>
      </c>
      <c r="D551" s="9">
        <v>100</v>
      </c>
      <c r="E551" s="9">
        <v>9.862896102881388</v>
      </c>
      <c r="F551" s="9">
        <v>20.296939717532759</v>
      </c>
      <c r="G551">
        <f t="shared" si="10"/>
        <v>1.9999999999999966E-2</v>
      </c>
    </row>
    <row r="552" spans="2:7" x14ac:dyDescent="0.2">
      <c r="B552" s="10">
        <v>502</v>
      </c>
      <c r="C552" s="9">
        <v>92.501163123249768</v>
      </c>
      <c r="D552" s="9">
        <v>74.000930498599814</v>
      </c>
      <c r="E552" s="9">
        <v>0</v>
      </c>
      <c r="F552" s="9">
        <v>0</v>
      </c>
      <c r="G552">
        <f t="shared" si="10"/>
        <v>-0.28109251855757467</v>
      </c>
    </row>
    <row r="553" spans="2:7" x14ac:dyDescent="0.2">
      <c r="B553" s="10">
        <v>503</v>
      </c>
      <c r="C553" s="9">
        <v>120.05642708027153</v>
      </c>
      <c r="D553" s="9">
        <v>100</v>
      </c>
      <c r="E553" s="9">
        <v>6.3267030438314746</v>
      </c>
      <c r="F553" s="9">
        <v>13.729724036440057</v>
      </c>
      <c r="G553">
        <f t="shared" si="10"/>
        <v>1.9999999999999966E-2</v>
      </c>
    </row>
    <row r="554" spans="2:7" x14ac:dyDescent="0.2">
      <c r="B554" s="10">
        <v>504</v>
      </c>
      <c r="C554" s="9">
        <v>77.884299550221343</v>
      </c>
      <c r="D554" s="9">
        <v>62.307439640177073</v>
      </c>
      <c r="E554" s="9">
        <v>0</v>
      </c>
      <c r="F554" s="9">
        <v>0</v>
      </c>
      <c r="G554">
        <f t="shared" si="10"/>
        <v>-0.45308935094901787</v>
      </c>
    </row>
    <row r="555" spans="2:7" x14ac:dyDescent="0.2">
      <c r="B555" s="10">
        <v>505</v>
      </c>
      <c r="C555" s="9">
        <v>89.656129991709619</v>
      </c>
      <c r="D555" s="9">
        <v>71.72490399336769</v>
      </c>
      <c r="E555" s="9">
        <v>0</v>
      </c>
      <c r="F555" s="9">
        <v>0</v>
      </c>
      <c r="G555">
        <f t="shared" si="10"/>
        <v>-0.31233216265947883</v>
      </c>
    </row>
    <row r="556" spans="2:7" x14ac:dyDescent="0.2">
      <c r="B556" s="10">
        <v>506</v>
      </c>
      <c r="C556" s="9">
        <v>76.514540142214983</v>
      </c>
      <c r="D556" s="9">
        <v>61.211632113771984</v>
      </c>
      <c r="E556" s="9">
        <v>0</v>
      </c>
      <c r="F556" s="9">
        <v>0</v>
      </c>
      <c r="G556">
        <f t="shared" si="10"/>
        <v>-0.47083294731179992</v>
      </c>
    </row>
    <row r="557" spans="2:7" x14ac:dyDescent="0.2">
      <c r="B557" s="10">
        <v>507</v>
      </c>
      <c r="C557" s="9">
        <v>120.26168803150267</v>
      </c>
      <c r="D557" s="9">
        <v>100</v>
      </c>
      <c r="E557" s="9">
        <v>6.3985443767623735</v>
      </c>
      <c r="F557" s="9">
        <v>13.863143654740298</v>
      </c>
      <c r="G557">
        <f t="shared" si="10"/>
        <v>1.9999999999999966E-2</v>
      </c>
    </row>
    <row r="558" spans="2:7" x14ac:dyDescent="0.2">
      <c r="B558" s="10">
        <v>508</v>
      </c>
      <c r="C558" s="9">
        <v>147.93026060741155</v>
      </c>
      <c r="D558" s="9">
        <v>100</v>
      </c>
      <c r="E558" s="9">
        <v>16.082544778330483</v>
      </c>
      <c r="F558" s="9">
        <v>31.847715829081071</v>
      </c>
      <c r="G558">
        <f t="shared" si="10"/>
        <v>1.9999999999999966E-2</v>
      </c>
    </row>
    <row r="559" spans="2:7" x14ac:dyDescent="0.2">
      <c r="B559" s="10">
        <v>509</v>
      </c>
      <c r="C559" s="9">
        <v>114.92956200652995</v>
      </c>
      <c r="D559" s="9">
        <v>100</v>
      </c>
      <c r="E559" s="9">
        <v>4.5323002680219204</v>
      </c>
      <c r="F559" s="9">
        <v>10.397261738508028</v>
      </c>
      <c r="G559">
        <f t="shared" si="10"/>
        <v>1.9999999999999966E-2</v>
      </c>
    </row>
    <row r="560" spans="2:7" x14ac:dyDescent="0.2">
      <c r="B560" s="10">
        <v>510</v>
      </c>
      <c r="C560" s="9">
        <v>94.060616117864114</v>
      </c>
      <c r="D560" s="9">
        <v>75.248492894291289</v>
      </c>
      <c r="E560" s="9">
        <v>0</v>
      </c>
      <c r="F560" s="9">
        <v>0</v>
      </c>
      <c r="G560">
        <f t="shared" si="10"/>
        <v>-0.26437431054250915</v>
      </c>
    </row>
    <row r="561" spans="2:7" x14ac:dyDescent="0.2">
      <c r="B561" s="10">
        <v>511</v>
      </c>
      <c r="C561" s="9">
        <v>154.35434399025922</v>
      </c>
      <c r="D561" s="9">
        <v>100</v>
      </c>
      <c r="E561" s="9">
        <v>18.330973962327164</v>
      </c>
      <c r="F561" s="9">
        <v>36.02337002793206</v>
      </c>
      <c r="G561">
        <f t="shared" si="10"/>
        <v>1.9999999999999966E-2</v>
      </c>
    </row>
    <row r="562" spans="2:7" x14ac:dyDescent="0.2">
      <c r="B562" s="10">
        <v>512</v>
      </c>
      <c r="C562" s="9">
        <v>119.076098429574</v>
      </c>
      <c r="D562" s="9">
        <v>100</v>
      </c>
      <c r="E562" s="9">
        <v>5.9835880160873387</v>
      </c>
      <c r="F562" s="9">
        <v>13.092510413486664</v>
      </c>
      <c r="G562">
        <f t="shared" si="10"/>
        <v>1.9999999999999966E-2</v>
      </c>
    </row>
    <row r="563" spans="2:7" x14ac:dyDescent="0.2">
      <c r="B563" s="10">
        <v>513</v>
      </c>
      <c r="C563" s="9">
        <v>157.24622451295639</v>
      </c>
      <c r="D563" s="9">
        <v>100</v>
      </c>
      <c r="E563" s="9">
        <v>19.343132145271174</v>
      </c>
      <c r="F563" s="9">
        <v>37.903092367685218</v>
      </c>
      <c r="G563">
        <f t="shared" ref="G563:G626" si="11">LN(D563/$C$7)</f>
        <v>1.9999999999999966E-2</v>
      </c>
    </row>
    <row r="564" spans="2:7" x14ac:dyDescent="0.2">
      <c r="B564" s="10">
        <v>514</v>
      </c>
      <c r="C564" s="9">
        <v>101.70829134019253</v>
      </c>
      <c r="D564" s="9">
        <v>100</v>
      </c>
      <c r="E564" s="9">
        <v>-9.5144465196175781E-2</v>
      </c>
      <c r="F564" s="9">
        <v>1.8034358053887067</v>
      </c>
      <c r="G564">
        <f t="shared" si="11"/>
        <v>1.9999999999999966E-2</v>
      </c>
    </row>
    <row r="565" spans="2:7" x14ac:dyDescent="0.2">
      <c r="B565" s="10">
        <v>515</v>
      </c>
      <c r="C565" s="9">
        <v>115.08377112435477</v>
      </c>
      <c r="D565" s="9">
        <v>100</v>
      </c>
      <c r="E565" s="9">
        <v>4.5862734592606067</v>
      </c>
      <c r="F565" s="9">
        <v>10.497497665094162</v>
      </c>
      <c r="G565">
        <f t="shared" si="11"/>
        <v>1.9999999999999966E-2</v>
      </c>
    </row>
    <row r="566" spans="2:7" x14ac:dyDescent="0.2">
      <c r="B566" s="10">
        <v>516</v>
      </c>
      <c r="C566" s="9">
        <v>125.52188322161375</v>
      </c>
      <c r="D566" s="9">
        <v>100</v>
      </c>
      <c r="E566" s="9">
        <v>8.2396126933012503</v>
      </c>
      <c r="F566" s="9">
        <v>17.282270528312498</v>
      </c>
      <c r="G566">
        <f t="shared" si="11"/>
        <v>1.9999999999999966E-2</v>
      </c>
    </row>
    <row r="567" spans="2:7" x14ac:dyDescent="0.2">
      <c r="B567" s="10">
        <v>517</v>
      </c>
      <c r="C567" s="9">
        <v>161.35188793787364</v>
      </c>
      <c r="D567" s="9">
        <v>100</v>
      </c>
      <c r="E567" s="9">
        <v>20.78011434399221</v>
      </c>
      <c r="F567" s="9">
        <v>40.571773593881431</v>
      </c>
      <c r="G567">
        <f t="shared" si="11"/>
        <v>1.9999999999999966E-2</v>
      </c>
    </row>
    <row r="568" spans="2:7" x14ac:dyDescent="0.2">
      <c r="B568" s="10">
        <v>518</v>
      </c>
      <c r="C568" s="9">
        <v>128.29020542967683</v>
      </c>
      <c r="D568" s="9">
        <v>100</v>
      </c>
      <c r="E568" s="9">
        <v>9.2085254661233282</v>
      </c>
      <c r="F568" s="9">
        <v>19.081679963553505</v>
      </c>
      <c r="G568">
        <f t="shared" si="11"/>
        <v>1.9999999999999966E-2</v>
      </c>
    </row>
    <row r="569" spans="2:7" x14ac:dyDescent="0.2">
      <c r="B569" s="10">
        <v>519</v>
      </c>
      <c r="C569" s="9">
        <v>166.88640341465108</v>
      </c>
      <c r="D569" s="9">
        <v>100</v>
      </c>
      <c r="E569" s="9">
        <v>22.717194760864317</v>
      </c>
      <c r="F569" s="9">
        <v>44.169208653786768</v>
      </c>
      <c r="G569">
        <f t="shared" si="11"/>
        <v>1.9999999999999966E-2</v>
      </c>
    </row>
    <row r="570" spans="2:7" x14ac:dyDescent="0.2">
      <c r="B570" s="10">
        <v>520</v>
      </c>
      <c r="C570" s="9">
        <v>135.65739315546915</v>
      </c>
      <c r="D570" s="9">
        <v>100</v>
      </c>
      <c r="E570" s="9">
        <v>11.787041170150641</v>
      </c>
      <c r="F570" s="9">
        <v>23.870351985318511</v>
      </c>
      <c r="G570">
        <f t="shared" si="11"/>
        <v>1.9999999999999966E-2</v>
      </c>
    </row>
    <row r="571" spans="2:7" x14ac:dyDescent="0.2">
      <c r="B571" s="10">
        <v>521</v>
      </c>
      <c r="C571" s="9">
        <v>88.9957645725394</v>
      </c>
      <c r="D571" s="9">
        <v>71.196611658031514</v>
      </c>
      <c r="E571" s="9">
        <v>0</v>
      </c>
      <c r="F571" s="9">
        <v>0</v>
      </c>
      <c r="G571">
        <f t="shared" si="11"/>
        <v>-0.31972495777514831</v>
      </c>
    </row>
    <row r="572" spans="2:7" x14ac:dyDescent="0.2">
      <c r="B572" s="10">
        <v>522</v>
      </c>
      <c r="C572" s="9">
        <v>187.72790357348492</v>
      </c>
      <c r="D572" s="9">
        <v>100</v>
      </c>
      <c r="E572" s="9">
        <v>30.011719816456161</v>
      </c>
      <c r="F572" s="9">
        <v>57.716183757028759</v>
      </c>
      <c r="G572">
        <f t="shared" si="11"/>
        <v>1.9999999999999966E-2</v>
      </c>
    </row>
    <row r="573" spans="2:7" x14ac:dyDescent="0.2">
      <c r="B573" s="10">
        <v>523</v>
      </c>
      <c r="C573" s="9">
        <v>118.56114636635517</v>
      </c>
      <c r="D573" s="9">
        <v>100</v>
      </c>
      <c r="E573" s="9">
        <v>5.8033547939607493</v>
      </c>
      <c r="F573" s="9">
        <v>12.757791572394424</v>
      </c>
      <c r="G573">
        <f t="shared" si="11"/>
        <v>1.9999999999999966E-2</v>
      </c>
    </row>
    <row r="574" spans="2:7" x14ac:dyDescent="0.2">
      <c r="B574" s="10">
        <v>524</v>
      </c>
      <c r="C574" s="9">
        <v>110.3214511907731</v>
      </c>
      <c r="D574" s="9">
        <v>100</v>
      </c>
      <c r="E574" s="9">
        <v>2.9194614825070246</v>
      </c>
      <c r="F574" s="9">
        <v>7.401989708266079</v>
      </c>
      <c r="G574">
        <f t="shared" si="11"/>
        <v>1.9999999999999966E-2</v>
      </c>
    </row>
    <row r="575" spans="2:7" x14ac:dyDescent="0.2">
      <c r="B575" s="10">
        <v>525</v>
      </c>
      <c r="C575" s="9">
        <v>100.93102955245558</v>
      </c>
      <c r="D575" s="9">
        <v>100</v>
      </c>
      <c r="E575" s="9">
        <v>-0.3671860909041072</v>
      </c>
      <c r="F575" s="9">
        <v>1.2982156433596912</v>
      </c>
      <c r="G575">
        <f t="shared" si="11"/>
        <v>1.9999999999999966E-2</v>
      </c>
    </row>
    <row r="576" spans="2:7" x14ac:dyDescent="0.2">
      <c r="B576" s="10">
        <v>526</v>
      </c>
      <c r="C576" s="9">
        <v>95.558381764849472</v>
      </c>
      <c r="D576" s="9">
        <v>76.446705411879577</v>
      </c>
      <c r="E576" s="9">
        <v>0</v>
      </c>
      <c r="F576" s="9">
        <v>0</v>
      </c>
      <c r="G576">
        <f t="shared" si="11"/>
        <v>-0.24857634921945665</v>
      </c>
    </row>
    <row r="577" spans="2:7" x14ac:dyDescent="0.2">
      <c r="B577" s="10">
        <v>527</v>
      </c>
      <c r="C577" s="9">
        <v>107.36899845449265</v>
      </c>
      <c r="D577" s="9">
        <v>100</v>
      </c>
      <c r="E577" s="9">
        <v>1.8861030248088673</v>
      </c>
      <c r="F577" s="9">
        <v>5.4828954296837873</v>
      </c>
      <c r="G577">
        <f t="shared" si="11"/>
        <v>1.9999999999999966E-2</v>
      </c>
    </row>
    <row r="578" spans="2:7" x14ac:dyDescent="0.2">
      <c r="B578" s="10">
        <v>528</v>
      </c>
      <c r="C578" s="9">
        <v>120.41829955024362</v>
      </c>
      <c r="D578" s="9">
        <v>100</v>
      </c>
      <c r="E578" s="9">
        <v>6.4533584083217042</v>
      </c>
      <c r="F578" s="9">
        <v>13.964941141921912</v>
      </c>
      <c r="G578">
        <f t="shared" si="11"/>
        <v>1.9999999999999966E-2</v>
      </c>
    </row>
    <row r="579" spans="2:7" x14ac:dyDescent="0.2">
      <c r="B579" s="10">
        <v>529</v>
      </c>
      <c r="C579" s="9">
        <v>142.9706022034712</v>
      </c>
      <c r="D579" s="9">
        <v>100</v>
      </c>
      <c r="E579" s="9">
        <v>14.346664336951358</v>
      </c>
      <c r="F579" s="9">
        <v>28.623937866519846</v>
      </c>
      <c r="G579">
        <f t="shared" si="11"/>
        <v>1.9999999999999966E-2</v>
      </c>
    </row>
    <row r="580" spans="2:7" x14ac:dyDescent="0.2">
      <c r="B580" s="10">
        <v>530</v>
      </c>
      <c r="C580" s="9">
        <v>103.30656025931137</v>
      </c>
      <c r="D580" s="9">
        <v>100</v>
      </c>
      <c r="E580" s="9">
        <v>0.46424965649541716</v>
      </c>
      <c r="F580" s="9">
        <v>2.8423106028159508</v>
      </c>
      <c r="G580">
        <f t="shared" si="11"/>
        <v>1.9999999999999966E-2</v>
      </c>
    </row>
    <row r="581" spans="2:7" x14ac:dyDescent="0.2">
      <c r="B581" s="10">
        <v>531</v>
      </c>
      <c r="C581" s="9">
        <v>92.056630567821315</v>
      </c>
      <c r="D581" s="9">
        <v>73.645304454257058</v>
      </c>
      <c r="E581" s="9">
        <v>0</v>
      </c>
      <c r="F581" s="9">
        <v>0</v>
      </c>
      <c r="G581">
        <f t="shared" si="11"/>
        <v>-0.28590979997600668</v>
      </c>
    </row>
    <row r="582" spans="2:7" x14ac:dyDescent="0.2">
      <c r="B582" s="10">
        <v>532</v>
      </c>
      <c r="C582" s="9">
        <v>193.09564270894165</v>
      </c>
      <c r="D582" s="9">
        <v>100</v>
      </c>
      <c r="E582" s="9">
        <v>31.890428513866016</v>
      </c>
      <c r="F582" s="9">
        <v>61.205214195075641</v>
      </c>
      <c r="G582">
        <f t="shared" si="11"/>
        <v>1.9999999999999966E-2</v>
      </c>
    </row>
    <row r="583" spans="2:7" x14ac:dyDescent="0.2">
      <c r="B583" s="10">
        <v>533</v>
      </c>
      <c r="C583" s="9">
        <v>134.85025466844459</v>
      </c>
      <c r="D583" s="9">
        <v>100</v>
      </c>
      <c r="E583" s="9">
        <v>11.504542699692045</v>
      </c>
      <c r="F583" s="9">
        <v>23.345711968752546</v>
      </c>
      <c r="G583">
        <f t="shared" si="11"/>
        <v>1.9999999999999966E-2</v>
      </c>
    </row>
    <row r="584" spans="2:7" x14ac:dyDescent="0.2">
      <c r="B584" s="10">
        <v>534</v>
      </c>
      <c r="C584" s="9">
        <v>97.801443618213298</v>
      </c>
      <c r="D584" s="9">
        <v>78.241154894570641</v>
      </c>
      <c r="E584" s="9">
        <v>0</v>
      </c>
      <c r="F584" s="9">
        <v>0</v>
      </c>
      <c r="G584">
        <f t="shared" si="11"/>
        <v>-0.22537439944804455</v>
      </c>
    </row>
    <row r="585" spans="2:7" x14ac:dyDescent="0.2">
      <c r="B585" s="10">
        <v>535</v>
      </c>
      <c r="C585" s="9">
        <v>93.820531622761322</v>
      </c>
      <c r="D585" s="9">
        <v>75.056425298209064</v>
      </c>
      <c r="E585" s="9">
        <v>0</v>
      </c>
      <c r="F585" s="9">
        <v>0</v>
      </c>
      <c r="G585">
        <f t="shared" si="11"/>
        <v>-0.26693001800617655</v>
      </c>
    </row>
    <row r="586" spans="2:7" x14ac:dyDescent="0.2">
      <c r="B586" s="10">
        <v>536</v>
      </c>
      <c r="C586" s="9">
        <v>154.77603934362912</v>
      </c>
      <c r="D586" s="9">
        <v>100</v>
      </c>
      <c r="E586" s="9">
        <v>18.47856733600663</v>
      </c>
      <c r="F586" s="9">
        <v>36.297472007622488</v>
      </c>
      <c r="G586">
        <f t="shared" si="11"/>
        <v>1.9999999999999966E-2</v>
      </c>
    </row>
    <row r="587" spans="2:7" x14ac:dyDescent="0.2">
      <c r="B587" s="10">
        <v>537</v>
      </c>
      <c r="C587" s="9">
        <v>78.726809583759547</v>
      </c>
      <c r="D587" s="9">
        <v>62.981447667007636</v>
      </c>
      <c r="E587" s="9">
        <v>0</v>
      </c>
      <c r="F587" s="9">
        <v>0</v>
      </c>
      <c r="G587">
        <f t="shared" si="11"/>
        <v>-0.44232998444081212</v>
      </c>
    </row>
    <row r="588" spans="2:7" x14ac:dyDescent="0.2">
      <c r="B588" s="10">
        <v>538</v>
      </c>
      <c r="C588" s="9">
        <v>87.385949435532922</v>
      </c>
      <c r="D588" s="9">
        <v>69.908759548426332</v>
      </c>
      <c r="E588" s="9">
        <v>0</v>
      </c>
      <c r="F588" s="9">
        <v>0</v>
      </c>
      <c r="G588">
        <f t="shared" si="11"/>
        <v>-0.33797922917151851</v>
      </c>
    </row>
    <row r="589" spans="2:7" x14ac:dyDescent="0.2">
      <c r="B589" s="10">
        <v>539</v>
      </c>
      <c r="C589" s="9">
        <v>81.038932245095324</v>
      </c>
      <c r="D589" s="9">
        <v>64.831145796076257</v>
      </c>
      <c r="E589" s="9">
        <v>0</v>
      </c>
      <c r="F589" s="9">
        <v>0</v>
      </c>
      <c r="G589">
        <f t="shared" si="11"/>
        <v>-0.41338405310149468</v>
      </c>
    </row>
    <row r="590" spans="2:7" x14ac:dyDescent="0.2">
      <c r="B590" s="10">
        <v>540</v>
      </c>
      <c r="C590" s="9">
        <v>133.42795283983116</v>
      </c>
      <c r="D590" s="9">
        <v>100</v>
      </c>
      <c r="E590" s="9">
        <v>11.006737059677345</v>
      </c>
      <c r="F590" s="9">
        <v>22.421215780153819</v>
      </c>
      <c r="G590">
        <f t="shared" si="11"/>
        <v>1.9999999999999966E-2</v>
      </c>
    </row>
    <row r="591" spans="2:7" x14ac:dyDescent="0.2">
      <c r="B591" s="10">
        <v>541</v>
      </c>
      <c r="C591" s="9">
        <v>94.453280558070006</v>
      </c>
      <c r="D591" s="9">
        <v>75.562624446455999</v>
      </c>
      <c r="E591" s="9">
        <v>0</v>
      </c>
      <c r="F591" s="9">
        <v>0</v>
      </c>
      <c r="G591">
        <f t="shared" si="11"/>
        <v>-0.26020841068036171</v>
      </c>
    </row>
    <row r="592" spans="2:7" x14ac:dyDescent="0.2">
      <c r="B592" s="10">
        <v>542</v>
      </c>
      <c r="C592" s="9">
        <v>63.788585222220831</v>
      </c>
      <c r="D592" s="9">
        <v>51.030868177776668</v>
      </c>
      <c r="E592" s="9">
        <v>0</v>
      </c>
      <c r="F592" s="9">
        <v>0</v>
      </c>
      <c r="G592">
        <f t="shared" si="11"/>
        <v>-0.65273947797096965</v>
      </c>
    </row>
    <row r="593" spans="2:7" x14ac:dyDescent="0.2">
      <c r="B593" s="10">
        <v>543</v>
      </c>
      <c r="C593" s="9">
        <v>101.38025470669645</v>
      </c>
      <c r="D593" s="9">
        <v>100</v>
      </c>
      <c r="E593" s="9">
        <v>-0.20995728691980486</v>
      </c>
      <c r="F593" s="9">
        <v>1.5902119936162529</v>
      </c>
      <c r="G593">
        <f t="shared" si="11"/>
        <v>1.9999999999999966E-2</v>
      </c>
    </row>
    <row r="594" spans="2:7" x14ac:dyDescent="0.2">
      <c r="B594" s="10">
        <v>544</v>
      </c>
      <c r="C594" s="9">
        <v>103.43546328912487</v>
      </c>
      <c r="D594" s="9">
        <v>100</v>
      </c>
      <c r="E594" s="9">
        <v>0.50936571693014232</v>
      </c>
      <c r="F594" s="9">
        <v>2.9260975721947262</v>
      </c>
      <c r="G594">
        <f t="shared" si="11"/>
        <v>1.9999999999999966E-2</v>
      </c>
    </row>
    <row r="595" spans="2:7" x14ac:dyDescent="0.2">
      <c r="B595" s="10">
        <v>545</v>
      </c>
      <c r="C595" s="9">
        <v>112.37940158405455</v>
      </c>
      <c r="D595" s="9">
        <v>100</v>
      </c>
      <c r="E595" s="9">
        <v>3.6397441201555298</v>
      </c>
      <c r="F595" s="9">
        <v>8.7396574638990181</v>
      </c>
      <c r="G595">
        <f t="shared" si="11"/>
        <v>1.9999999999999966E-2</v>
      </c>
    </row>
    <row r="596" spans="2:7" x14ac:dyDescent="0.2">
      <c r="B596" s="10">
        <v>546</v>
      </c>
      <c r="C596" s="9">
        <v>64.247537840237698</v>
      </c>
      <c r="D596" s="9">
        <v>51.398030272190155</v>
      </c>
      <c r="E596" s="9">
        <v>0</v>
      </c>
      <c r="F596" s="9">
        <v>0</v>
      </c>
      <c r="G596">
        <f t="shared" si="11"/>
        <v>-0.64557033581398215</v>
      </c>
    </row>
    <row r="597" spans="2:7" x14ac:dyDescent="0.2">
      <c r="B597" s="10">
        <v>547</v>
      </c>
      <c r="C597" s="9">
        <v>139.55182843692802</v>
      </c>
      <c r="D597" s="9">
        <v>100</v>
      </c>
      <c r="E597" s="9">
        <v>13.150093518661244</v>
      </c>
      <c r="F597" s="9">
        <v>26.401734918266776</v>
      </c>
      <c r="G597">
        <f t="shared" si="11"/>
        <v>1.9999999999999966E-2</v>
      </c>
    </row>
    <row r="598" spans="2:7" x14ac:dyDescent="0.2">
      <c r="B598" s="10">
        <v>548</v>
      </c>
      <c r="C598" s="9">
        <v>117.56466496670699</v>
      </c>
      <c r="D598" s="9">
        <v>100</v>
      </c>
      <c r="E598" s="9">
        <v>5.4545863040838825</v>
      </c>
      <c r="F598" s="9">
        <v>12.110078662623103</v>
      </c>
      <c r="G598">
        <f t="shared" si="11"/>
        <v>1.9999999999999966E-2</v>
      </c>
    </row>
    <row r="599" spans="2:7" x14ac:dyDescent="0.2">
      <c r="B599" s="10">
        <v>549</v>
      </c>
      <c r="C599" s="9">
        <v>115.33079771611463</v>
      </c>
      <c r="D599" s="9">
        <v>100</v>
      </c>
      <c r="E599" s="9">
        <v>4.6727327663765585</v>
      </c>
      <c r="F599" s="9">
        <v>10.658064949738073</v>
      </c>
      <c r="G599">
        <f t="shared" si="11"/>
        <v>1.9999999999999966E-2</v>
      </c>
    </row>
    <row r="600" spans="2:7" x14ac:dyDescent="0.2">
      <c r="B600" s="10">
        <v>550</v>
      </c>
      <c r="C600" s="9">
        <v>113.02150909085987</v>
      </c>
      <c r="D600" s="9">
        <v>100</v>
      </c>
      <c r="E600" s="9">
        <v>3.8644817475373912</v>
      </c>
      <c r="F600" s="9">
        <v>9.1570273433224738</v>
      </c>
      <c r="G600">
        <f t="shared" si="11"/>
        <v>1.9999999999999966E-2</v>
      </c>
    </row>
    <row r="601" spans="2:7" x14ac:dyDescent="0.2">
      <c r="B601" s="10">
        <v>551</v>
      </c>
      <c r="C601" s="9">
        <v>63.159921197355295</v>
      </c>
      <c r="D601" s="9">
        <v>50.527936957884236</v>
      </c>
      <c r="E601" s="9">
        <v>0</v>
      </c>
      <c r="F601" s="9">
        <v>0</v>
      </c>
      <c r="G601">
        <f t="shared" si="11"/>
        <v>-0.66264379558259034</v>
      </c>
    </row>
    <row r="602" spans="2:7" x14ac:dyDescent="0.2">
      <c r="B602" s="10">
        <v>552</v>
      </c>
      <c r="C602" s="9">
        <v>132.79928625002805</v>
      </c>
      <c r="D602" s="9">
        <v>100</v>
      </c>
      <c r="E602" s="9">
        <v>10.786703753246254</v>
      </c>
      <c r="F602" s="9">
        <v>22.012582496781793</v>
      </c>
      <c r="G602">
        <f t="shared" si="11"/>
        <v>1.9999999999999966E-2</v>
      </c>
    </row>
    <row r="603" spans="2:7" x14ac:dyDescent="0.2">
      <c r="B603" s="10">
        <v>553</v>
      </c>
      <c r="C603" s="9">
        <v>122.57834702137873</v>
      </c>
      <c r="D603" s="9">
        <v>100</v>
      </c>
      <c r="E603" s="9">
        <v>7.2093750232189944</v>
      </c>
      <c r="F603" s="9">
        <v>15.368971998159738</v>
      </c>
      <c r="G603">
        <f t="shared" si="11"/>
        <v>1.9999999999999966E-2</v>
      </c>
    </row>
    <row r="604" spans="2:7" x14ac:dyDescent="0.2">
      <c r="B604" s="10">
        <v>554</v>
      </c>
      <c r="C604" s="9">
        <v>105.43086308169651</v>
      </c>
      <c r="D604" s="9">
        <v>100</v>
      </c>
      <c r="E604" s="9">
        <v>1.2077556443302184</v>
      </c>
      <c r="F604" s="9">
        <v>4.2231074373662967</v>
      </c>
      <c r="G604">
        <f t="shared" si="11"/>
        <v>1.9999999999999966E-2</v>
      </c>
    </row>
    <row r="605" spans="2:7" x14ac:dyDescent="0.2">
      <c r="B605" s="10">
        <v>555</v>
      </c>
      <c r="C605" s="9">
        <v>71.32773547081301</v>
      </c>
      <c r="D605" s="9">
        <v>57.062188376650411</v>
      </c>
      <c r="E605" s="9">
        <v>0</v>
      </c>
      <c r="F605" s="9">
        <v>0</v>
      </c>
      <c r="G605">
        <f t="shared" si="11"/>
        <v>-0.54102848873608922</v>
      </c>
    </row>
    <row r="606" spans="2:7" x14ac:dyDescent="0.2">
      <c r="B606" s="10">
        <v>556</v>
      </c>
      <c r="C606" s="9">
        <v>161.21653925857399</v>
      </c>
      <c r="D606" s="9">
        <v>100</v>
      </c>
      <c r="E606" s="9">
        <v>20.732742306237334</v>
      </c>
      <c r="F606" s="9">
        <v>40.483796952336654</v>
      </c>
      <c r="G606">
        <f t="shared" si="11"/>
        <v>1.9999999999999966E-2</v>
      </c>
    </row>
    <row r="607" spans="2:7" x14ac:dyDescent="0.2">
      <c r="B607" s="10">
        <v>557</v>
      </c>
      <c r="C607" s="9">
        <v>66.733175053059568</v>
      </c>
      <c r="D607" s="9">
        <v>53.386540042447656</v>
      </c>
      <c r="E607" s="9">
        <v>0</v>
      </c>
      <c r="F607" s="9">
        <v>0</v>
      </c>
      <c r="G607">
        <f t="shared" si="11"/>
        <v>-0.6076115309243777</v>
      </c>
    </row>
    <row r="608" spans="2:7" x14ac:dyDescent="0.2">
      <c r="B608" s="10">
        <v>558</v>
      </c>
      <c r="C608" s="9">
        <v>127.01317684101792</v>
      </c>
      <c r="D608" s="9">
        <v>100</v>
      </c>
      <c r="E608" s="9">
        <v>8.7615654600927115</v>
      </c>
      <c r="F608" s="9">
        <v>18.251611380925212</v>
      </c>
      <c r="G608">
        <f t="shared" si="11"/>
        <v>1.9999999999999966E-2</v>
      </c>
    </row>
    <row r="609" spans="2:7" x14ac:dyDescent="0.2">
      <c r="B609" s="10">
        <v>559</v>
      </c>
      <c r="C609" s="9">
        <v>132.75138321621802</v>
      </c>
      <c r="D609" s="9">
        <v>100</v>
      </c>
      <c r="E609" s="9">
        <v>10.769937691412743</v>
      </c>
      <c r="F609" s="9">
        <v>21.981445524805274</v>
      </c>
      <c r="G609">
        <f t="shared" si="11"/>
        <v>1.9999999999999966E-2</v>
      </c>
    </row>
    <row r="610" spans="2:7" x14ac:dyDescent="0.2">
      <c r="B610" s="10">
        <v>560</v>
      </c>
      <c r="C610" s="9">
        <v>139.84802040903094</v>
      </c>
      <c r="D610" s="9">
        <v>100</v>
      </c>
      <c r="E610" s="9">
        <v>13.253760708897266</v>
      </c>
      <c r="F610" s="9">
        <v>26.594259700133669</v>
      </c>
      <c r="G610">
        <f t="shared" si="11"/>
        <v>1.9999999999999966E-2</v>
      </c>
    </row>
    <row r="611" spans="2:7" x14ac:dyDescent="0.2">
      <c r="B611" s="10">
        <v>561</v>
      </c>
      <c r="C611" s="9">
        <v>93.750362572538322</v>
      </c>
      <c r="D611" s="9">
        <v>75.000290058030657</v>
      </c>
      <c r="E611" s="9">
        <v>0</v>
      </c>
      <c r="F611" s="9">
        <v>0</v>
      </c>
      <c r="G611">
        <f t="shared" si="11"/>
        <v>-0.26767820501885087</v>
      </c>
    </row>
    <row r="612" spans="2:7" x14ac:dyDescent="0.2">
      <c r="B612" s="10">
        <v>562</v>
      </c>
      <c r="C612" s="9">
        <v>93.21448876352693</v>
      </c>
      <c r="D612" s="9">
        <v>74.57159101082155</v>
      </c>
      <c r="E612" s="9">
        <v>0</v>
      </c>
      <c r="F612" s="9">
        <v>0</v>
      </c>
      <c r="G612">
        <f t="shared" si="11"/>
        <v>-0.27341056885710247</v>
      </c>
    </row>
    <row r="613" spans="2:7" x14ac:dyDescent="0.2">
      <c r="B613" s="10">
        <v>563</v>
      </c>
      <c r="C613" s="9">
        <v>149.30229280266909</v>
      </c>
      <c r="D613" s="9">
        <v>100</v>
      </c>
      <c r="E613" s="9">
        <v>16.562756046670618</v>
      </c>
      <c r="F613" s="9">
        <v>32.739536755998472</v>
      </c>
      <c r="G613">
        <f t="shared" si="11"/>
        <v>1.9999999999999966E-2</v>
      </c>
    </row>
    <row r="614" spans="2:7" x14ac:dyDescent="0.2">
      <c r="B614" s="10">
        <v>564</v>
      </c>
      <c r="C614" s="9">
        <v>132.12697040255193</v>
      </c>
      <c r="D614" s="9">
        <v>100</v>
      </c>
      <c r="E614" s="9">
        <v>10.551393206629614</v>
      </c>
      <c r="F614" s="9">
        <v>21.575577195922321</v>
      </c>
      <c r="G614">
        <f t="shared" si="11"/>
        <v>1.9999999999999966E-2</v>
      </c>
    </row>
    <row r="615" spans="2:7" x14ac:dyDescent="0.2">
      <c r="B615" s="10">
        <v>565</v>
      </c>
      <c r="C615" s="9">
        <v>111.39810523258282</v>
      </c>
      <c r="D615" s="9">
        <v>100</v>
      </c>
      <c r="E615" s="9">
        <v>3.2962903971404258</v>
      </c>
      <c r="F615" s="9">
        <v>8.1018148354423953</v>
      </c>
      <c r="G615">
        <f t="shared" si="11"/>
        <v>1.9999999999999966E-2</v>
      </c>
    </row>
    <row r="616" spans="2:7" x14ac:dyDescent="0.2">
      <c r="B616" s="10">
        <v>566</v>
      </c>
      <c r="C616" s="9">
        <v>90.619862110612871</v>
      </c>
      <c r="D616" s="9">
        <v>72.495889688490294</v>
      </c>
      <c r="E616" s="9">
        <v>0</v>
      </c>
      <c r="F616" s="9">
        <v>0</v>
      </c>
      <c r="G616">
        <f t="shared" si="11"/>
        <v>-0.30164031968648319</v>
      </c>
    </row>
    <row r="617" spans="2:7" x14ac:dyDescent="0.2">
      <c r="B617" s="10">
        <v>567</v>
      </c>
      <c r="C617" s="9">
        <v>156.1560211353823</v>
      </c>
      <c r="D617" s="9">
        <v>100</v>
      </c>
      <c r="E617" s="9">
        <v>18.961560963120242</v>
      </c>
      <c r="F617" s="9">
        <v>37.194460172262062</v>
      </c>
      <c r="G617">
        <f t="shared" si="11"/>
        <v>1.9999999999999966E-2</v>
      </c>
    </row>
    <row r="618" spans="2:7" x14ac:dyDescent="0.2">
      <c r="B618" s="10">
        <v>568</v>
      </c>
      <c r="C618" s="9">
        <v>70.57927980961442</v>
      </c>
      <c r="D618" s="9">
        <v>56.463423847691537</v>
      </c>
      <c r="E618" s="9">
        <v>0</v>
      </c>
      <c r="F618" s="9">
        <v>0</v>
      </c>
      <c r="G618">
        <f t="shared" si="11"/>
        <v>-0.55157712299481976</v>
      </c>
    </row>
    <row r="619" spans="2:7" x14ac:dyDescent="0.2">
      <c r="B619" s="10">
        <v>569</v>
      </c>
      <c r="C619" s="9">
        <v>109.384635764828</v>
      </c>
      <c r="D619" s="9">
        <v>100</v>
      </c>
      <c r="E619" s="9">
        <v>2.59157608342624</v>
      </c>
      <c r="F619" s="9">
        <v>6.7930596814017647</v>
      </c>
      <c r="G619">
        <f t="shared" si="11"/>
        <v>1.9999999999999966E-2</v>
      </c>
    </row>
    <row r="620" spans="2:7" x14ac:dyDescent="0.2">
      <c r="B620" s="10">
        <v>570</v>
      </c>
      <c r="C620" s="9">
        <v>145.70532224004944</v>
      </c>
      <c r="D620" s="9">
        <v>100</v>
      </c>
      <c r="E620" s="9">
        <v>15.303816349753742</v>
      </c>
      <c r="F620" s="9">
        <v>30.401505890295699</v>
      </c>
      <c r="G620">
        <f t="shared" si="11"/>
        <v>1.9999999999999966E-2</v>
      </c>
    </row>
    <row r="621" spans="2:7" x14ac:dyDescent="0.2">
      <c r="B621" s="10">
        <v>571</v>
      </c>
      <c r="C621" s="9">
        <v>142.47177885051286</v>
      </c>
      <c r="D621" s="9">
        <v>100</v>
      </c>
      <c r="E621" s="9">
        <v>14.172076163415939</v>
      </c>
      <c r="F621" s="9">
        <v>28.299702687096925</v>
      </c>
      <c r="G621">
        <f t="shared" si="11"/>
        <v>1.9999999999999966E-2</v>
      </c>
    </row>
    <row r="622" spans="2:7" x14ac:dyDescent="0.2">
      <c r="B622" s="10">
        <v>572</v>
      </c>
      <c r="C622" s="9">
        <v>205.99803938471939</v>
      </c>
      <c r="D622" s="9">
        <v>100</v>
      </c>
      <c r="E622" s="9">
        <v>36.406267350388219</v>
      </c>
      <c r="F622" s="9">
        <v>69.591772034331171</v>
      </c>
      <c r="G622">
        <f t="shared" si="11"/>
        <v>1.9999999999999966E-2</v>
      </c>
    </row>
    <row r="623" spans="2:7" x14ac:dyDescent="0.2">
      <c r="B623" s="10">
        <v>573</v>
      </c>
      <c r="C623" s="9">
        <v>68.820877960554256</v>
      </c>
      <c r="D623" s="9">
        <v>55.056702368443403</v>
      </c>
      <c r="E623" s="9">
        <v>0</v>
      </c>
      <c r="F623" s="9">
        <v>0</v>
      </c>
      <c r="G623">
        <f t="shared" si="11"/>
        <v>-0.5768065796683044</v>
      </c>
    </row>
    <row r="624" spans="2:7" x14ac:dyDescent="0.2">
      <c r="B624" s="10">
        <v>574</v>
      </c>
      <c r="C624" s="9">
        <v>112.23292428794649</v>
      </c>
      <c r="D624" s="9">
        <v>100</v>
      </c>
      <c r="E624" s="9">
        <v>3.5884770665177093</v>
      </c>
      <c r="F624" s="9">
        <v>8.6444472214287789</v>
      </c>
      <c r="G624">
        <f t="shared" si="11"/>
        <v>1.9999999999999966E-2</v>
      </c>
    </row>
    <row r="625" spans="2:7" x14ac:dyDescent="0.2">
      <c r="B625" s="10">
        <v>575</v>
      </c>
      <c r="C625" s="9">
        <v>162.67180455116235</v>
      </c>
      <c r="D625" s="9">
        <v>100</v>
      </c>
      <c r="E625" s="9">
        <v>21.24208515864326</v>
      </c>
      <c r="F625" s="9">
        <v>41.42971939251909</v>
      </c>
      <c r="G625">
        <f t="shared" si="11"/>
        <v>1.9999999999999966E-2</v>
      </c>
    </row>
    <row r="626" spans="2:7" x14ac:dyDescent="0.2">
      <c r="B626" s="10">
        <v>576</v>
      </c>
      <c r="C626" s="9">
        <v>136.30707948941506</v>
      </c>
      <c r="D626" s="9">
        <v>100</v>
      </c>
      <c r="E626" s="9">
        <v>12.014431387031708</v>
      </c>
      <c r="F626" s="9">
        <v>24.292648102383353</v>
      </c>
      <c r="G626">
        <f t="shared" si="11"/>
        <v>1.9999999999999966E-2</v>
      </c>
    </row>
    <row r="627" spans="2:7" x14ac:dyDescent="0.2">
      <c r="B627" s="10">
        <v>577</v>
      </c>
      <c r="C627" s="9">
        <v>149.6424204000491</v>
      </c>
      <c r="D627" s="9">
        <v>100</v>
      </c>
      <c r="E627" s="9">
        <v>16.681800705753624</v>
      </c>
      <c r="F627" s="9">
        <v>32.960619694295481</v>
      </c>
      <c r="G627">
        <f t="shared" ref="G627:G690" si="12">LN(D627/$C$7)</f>
        <v>1.9999999999999966E-2</v>
      </c>
    </row>
    <row r="628" spans="2:7" x14ac:dyDescent="0.2">
      <c r="B628" s="10">
        <v>578</v>
      </c>
      <c r="C628" s="9">
        <v>62.00476937400515</v>
      </c>
      <c r="D628" s="9">
        <v>49.603815499204117</v>
      </c>
      <c r="E628" s="9">
        <v>0</v>
      </c>
      <c r="F628" s="9">
        <v>0</v>
      </c>
      <c r="G628">
        <f t="shared" si="12"/>
        <v>-0.68110242982863567</v>
      </c>
    </row>
    <row r="629" spans="2:7" x14ac:dyDescent="0.2">
      <c r="B629" s="10">
        <v>579</v>
      </c>
      <c r="C629" s="9">
        <v>116.60071522447441</v>
      </c>
      <c r="D629" s="9">
        <v>100</v>
      </c>
      <c r="E629" s="9">
        <v>5.1172038943024827</v>
      </c>
      <c r="F629" s="9">
        <v>11.483511330171931</v>
      </c>
      <c r="G629">
        <f t="shared" si="12"/>
        <v>1.9999999999999966E-2</v>
      </c>
    </row>
    <row r="630" spans="2:7" x14ac:dyDescent="0.2">
      <c r="B630" s="10">
        <v>580</v>
      </c>
      <c r="C630" s="9">
        <v>153.51799956900322</v>
      </c>
      <c r="D630" s="9">
        <v>100</v>
      </c>
      <c r="E630" s="9">
        <v>18.038253414887564</v>
      </c>
      <c r="F630" s="9">
        <v>35.479746154115659</v>
      </c>
      <c r="G630">
        <f t="shared" si="12"/>
        <v>1.9999999999999966E-2</v>
      </c>
    </row>
    <row r="631" spans="2:7" x14ac:dyDescent="0.2">
      <c r="B631" s="10">
        <v>581</v>
      </c>
      <c r="C631" s="9">
        <v>116.55797444700966</v>
      </c>
      <c r="D631" s="9">
        <v>100</v>
      </c>
      <c r="E631" s="9">
        <v>5.1022446221898177</v>
      </c>
      <c r="F631" s="9">
        <v>11.455729824819837</v>
      </c>
      <c r="G631">
        <f t="shared" si="12"/>
        <v>1.9999999999999966E-2</v>
      </c>
    </row>
    <row r="632" spans="2:7" x14ac:dyDescent="0.2">
      <c r="B632" s="10">
        <v>582</v>
      </c>
      <c r="C632" s="9">
        <v>95.686350372433353</v>
      </c>
      <c r="D632" s="9">
        <v>76.549080297946688</v>
      </c>
      <c r="E632" s="9">
        <v>0</v>
      </c>
      <c r="F632" s="9">
        <v>0</v>
      </c>
      <c r="G632">
        <f t="shared" si="12"/>
        <v>-0.24723807835308836</v>
      </c>
    </row>
    <row r="633" spans="2:7" x14ac:dyDescent="0.2">
      <c r="B633" s="10">
        <v>583</v>
      </c>
      <c r="C633" s="9">
        <v>160.98535607003356</v>
      </c>
      <c r="D633" s="9">
        <v>100</v>
      </c>
      <c r="E633" s="9">
        <v>20.651828190248182</v>
      </c>
      <c r="F633" s="9">
        <v>40.333527879785379</v>
      </c>
      <c r="G633">
        <f t="shared" si="12"/>
        <v>1.9999999999999966E-2</v>
      </c>
    </row>
    <row r="634" spans="2:7" x14ac:dyDescent="0.2">
      <c r="B634" s="10">
        <v>584</v>
      </c>
      <c r="C634" s="9">
        <v>103.85860130293389</v>
      </c>
      <c r="D634" s="9">
        <v>100</v>
      </c>
      <c r="E634" s="9">
        <v>0.65746402176330032</v>
      </c>
      <c r="F634" s="9">
        <v>3.2011372811705909</v>
      </c>
      <c r="G634">
        <f t="shared" si="12"/>
        <v>1.9999999999999966E-2</v>
      </c>
    </row>
    <row r="635" spans="2:7" x14ac:dyDescent="0.2">
      <c r="B635" s="10">
        <v>585</v>
      </c>
      <c r="C635" s="9">
        <v>99.917815269545798</v>
      </c>
      <c r="D635" s="9">
        <v>79.934252215636633</v>
      </c>
      <c r="E635" s="9">
        <v>0</v>
      </c>
      <c r="F635" s="9">
        <v>0</v>
      </c>
      <c r="G635">
        <f t="shared" si="12"/>
        <v>-0.20396573652039635</v>
      </c>
    </row>
    <row r="636" spans="2:7" x14ac:dyDescent="0.2">
      <c r="B636" s="10">
        <v>586</v>
      </c>
      <c r="C636" s="9">
        <v>80.808556572314231</v>
      </c>
      <c r="D636" s="9">
        <v>64.646845257851382</v>
      </c>
      <c r="E636" s="9">
        <v>0</v>
      </c>
      <c r="F636" s="9">
        <v>0</v>
      </c>
      <c r="G636">
        <f t="shared" si="12"/>
        <v>-0.41623087920986135</v>
      </c>
    </row>
    <row r="637" spans="2:7" x14ac:dyDescent="0.2">
      <c r="B637" s="10">
        <v>587</v>
      </c>
      <c r="C637" s="9">
        <v>92.731149600473486</v>
      </c>
      <c r="D637" s="9">
        <v>74.184919680378783</v>
      </c>
      <c r="E637" s="9">
        <v>0</v>
      </c>
      <c r="F637" s="9">
        <v>0</v>
      </c>
      <c r="G637">
        <f t="shared" si="12"/>
        <v>-0.27860929527947348</v>
      </c>
    </row>
    <row r="638" spans="2:7" x14ac:dyDescent="0.2">
      <c r="B638" s="10">
        <v>588</v>
      </c>
      <c r="C638" s="9">
        <v>124.42075454944614</v>
      </c>
      <c r="D638" s="9">
        <v>100</v>
      </c>
      <c r="E638" s="9">
        <v>7.8542176580425886</v>
      </c>
      <c r="F638" s="9">
        <v>16.566536891403555</v>
      </c>
      <c r="G638">
        <f t="shared" si="12"/>
        <v>1.9999999999999966E-2</v>
      </c>
    </row>
    <row r="639" spans="2:7" x14ac:dyDescent="0.2">
      <c r="B639" s="10">
        <v>589</v>
      </c>
      <c r="C639" s="9">
        <v>88.953024452321628</v>
      </c>
      <c r="D639" s="9">
        <v>71.162419561857305</v>
      </c>
      <c r="E639" s="9">
        <v>0</v>
      </c>
      <c r="F639" s="9">
        <v>0</v>
      </c>
      <c r="G639">
        <f t="shared" si="12"/>
        <v>-0.32020532205606111</v>
      </c>
    </row>
    <row r="640" spans="2:7" x14ac:dyDescent="0.2">
      <c r="B640" s="10">
        <v>590</v>
      </c>
      <c r="C640" s="9">
        <v>100.31877832129781</v>
      </c>
      <c r="D640" s="9">
        <v>100</v>
      </c>
      <c r="E640" s="9">
        <v>-0.58147402180932695</v>
      </c>
      <c r="F640" s="9">
        <v>0.9002523431071402</v>
      </c>
      <c r="G640">
        <f t="shared" si="12"/>
        <v>1.9999999999999966E-2</v>
      </c>
    </row>
    <row r="641" spans="2:7" x14ac:dyDescent="0.2">
      <c r="B641" s="10">
        <v>591</v>
      </c>
      <c r="C641" s="9">
        <v>115.59504526915489</v>
      </c>
      <c r="D641" s="9">
        <v>100</v>
      </c>
      <c r="E641" s="9">
        <v>4.7652194099406513</v>
      </c>
      <c r="F641" s="9">
        <v>10.829825859214242</v>
      </c>
      <c r="G641">
        <f t="shared" si="12"/>
        <v>1.9999999999999966E-2</v>
      </c>
    </row>
    <row r="642" spans="2:7" x14ac:dyDescent="0.2">
      <c r="B642" s="10">
        <v>592</v>
      </c>
      <c r="C642" s="9">
        <v>128.1367613336925</v>
      </c>
      <c r="D642" s="9">
        <v>100</v>
      </c>
      <c r="E642" s="9">
        <v>9.1548200325288143</v>
      </c>
      <c r="F642" s="9">
        <v>18.98194130116369</v>
      </c>
      <c r="G642">
        <f t="shared" si="12"/>
        <v>1.9999999999999966E-2</v>
      </c>
    </row>
    <row r="643" spans="2:7" x14ac:dyDescent="0.2">
      <c r="B643" s="10">
        <v>593</v>
      </c>
      <c r="C643" s="9">
        <v>89.832803402267984</v>
      </c>
      <c r="D643" s="9">
        <v>71.866242721814388</v>
      </c>
      <c r="E643" s="9">
        <v>0</v>
      </c>
      <c r="F643" s="9">
        <v>0</v>
      </c>
      <c r="G643">
        <f t="shared" si="12"/>
        <v>-0.31036353468586819</v>
      </c>
    </row>
    <row r="644" spans="2:7" x14ac:dyDescent="0.2">
      <c r="B644" s="10">
        <v>594</v>
      </c>
      <c r="C644" s="9">
        <v>166.1792656891719</v>
      </c>
      <c r="D644" s="9">
        <v>100</v>
      </c>
      <c r="E644" s="9">
        <v>22.469696556946602</v>
      </c>
      <c r="F644" s="9">
        <v>43.709569132225297</v>
      </c>
      <c r="G644">
        <f t="shared" si="12"/>
        <v>1.9999999999999966E-2</v>
      </c>
    </row>
    <row r="645" spans="2:7" x14ac:dyDescent="0.2">
      <c r="B645" s="10">
        <v>595</v>
      </c>
      <c r="C645" s="9">
        <v>80.255535575725219</v>
      </c>
      <c r="D645" s="9">
        <v>64.204428460580175</v>
      </c>
      <c r="E645" s="9">
        <v>0</v>
      </c>
      <c r="F645" s="9">
        <v>0</v>
      </c>
      <c r="G645">
        <f t="shared" si="12"/>
        <v>-0.42309799853436447</v>
      </c>
    </row>
    <row r="646" spans="2:7" x14ac:dyDescent="0.2">
      <c r="B646" s="10">
        <v>596</v>
      </c>
      <c r="C646" s="9">
        <v>116.08882916295151</v>
      </c>
      <c r="D646" s="9">
        <v>100</v>
      </c>
      <c r="E646" s="9">
        <v>4.9380437727694675</v>
      </c>
      <c r="F646" s="9">
        <v>11.150785390182044</v>
      </c>
      <c r="G646">
        <f t="shared" si="12"/>
        <v>1.9999999999999966E-2</v>
      </c>
    </row>
    <row r="647" spans="2:7" x14ac:dyDescent="0.2">
      <c r="B647" s="10">
        <v>597</v>
      </c>
      <c r="C647" s="9">
        <v>128.35147070055777</v>
      </c>
      <c r="D647" s="9">
        <v>100</v>
      </c>
      <c r="E647" s="9">
        <v>9.2299683109316568</v>
      </c>
      <c r="F647" s="9">
        <v>19.121502389626112</v>
      </c>
      <c r="G647">
        <f t="shared" si="12"/>
        <v>1.9999999999999966E-2</v>
      </c>
    </row>
    <row r="648" spans="2:7" x14ac:dyDescent="0.2">
      <c r="B648" s="10">
        <v>598</v>
      </c>
      <c r="C648" s="9">
        <v>111.4939510781862</v>
      </c>
      <c r="D648" s="9">
        <v>100</v>
      </c>
      <c r="E648" s="9">
        <v>3.3298364431016081</v>
      </c>
      <c r="F648" s="9">
        <v>8.1641146350845908</v>
      </c>
      <c r="G648">
        <f t="shared" si="12"/>
        <v>1.9999999999999966E-2</v>
      </c>
    </row>
    <row r="649" spans="2:7" x14ac:dyDescent="0.2">
      <c r="B649" s="10">
        <v>599</v>
      </c>
      <c r="C649" s="9">
        <v>153.90918963032308</v>
      </c>
      <c r="D649" s="9">
        <v>100</v>
      </c>
      <c r="E649" s="9">
        <v>18.175169936349516</v>
      </c>
      <c r="F649" s="9">
        <v>35.734019693973565</v>
      </c>
      <c r="G649">
        <f t="shared" si="12"/>
        <v>1.9999999999999966E-2</v>
      </c>
    </row>
    <row r="650" spans="2:7" x14ac:dyDescent="0.2">
      <c r="B650" s="10">
        <v>600</v>
      </c>
      <c r="C650" s="9">
        <v>147.19884410212526</v>
      </c>
      <c r="D650" s="9">
        <v>100</v>
      </c>
      <c r="E650" s="9">
        <v>15.826549001480279</v>
      </c>
      <c r="F650" s="9">
        <v>31.372295100644983</v>
      </c>
      <c r="G650">
        <f t="shared" si="12"/>
        <v>1.9999999999999966E-2</v>
      </c>
    </row>
    <row r="651" spans="2:7" x14ac:dyDescent="0.2">
      <c r="B651" s="10">
        <v>601</v>
      </c>
      <c r="C651" s="9">
        <v>80.803885078672678</v>
      </c>
      <c r="D651" s="9">
        <v>64.64310806293814</v>
      </c>
      <c r="E651" s="9">
        <v>0</v>
      </c>
      <c r="F651" s="9">
        <v>0</v>
      </c>
      <c r="G651">
        <f t="shared" si="12"/>
        <v>-0.4162886902743454</v>
      </c>
    </row>
    <row r="652" spans="2:7" x14ac:dyDescent="0.2">
      <c r="B652" s="10">
        <v>602</v>
      </c>
      <c r="C652" s="9">
        <v>110.35047270404334</v>
      </c>
      <c r="D652" s="9">
        <v>100</v>
      </c>
      <c r="E652" s="9">
        <v>2.9296190121516075</v>
      </c>
      <c r="F652" s="9">
        <v>7.4208536918917334</v>
      </c>
      <c r="G652">
        <f t="shared" si="12"/>
        <v>1.9999999999999966E-2</v>
      </c>
    </row>
    <row r="653" spans="2:7" x14ac:dyDescent="0.2">
      <c r="B653" s="10">
        <v>603</v>
      </c>
      <c r="C653" s="9">
        <v>114.76583100992497</v>
      </c>
      <c r="D653" s="9">
        <v>100</v>
      </c>
      <c r="E653" s="9">
        <v>4.4749944192101765</v>
      </c>
      <c r="F653" s="9">
        <v>10.29083659071479</v>
      </c>
      <c r="G653">
        <f t="shared" si="12"/>
        <v>1.9999999999999966E-2</v>
      </c>
    </row>
    <row r="654" spans="2:7" x14ac:dyDescent="0.2">
      <c r="B654" s="10">
        <v>604</v>
      </c>
      <c r="C654" s="9">
        <v>114.99142523683619</v>
      </c>
      <c r="D654" s="9">
        <v>100</v>
      </c>
      <c r="E654" s="9">
        <v>4.5539523986291055</v>
      </c>
      <c r="F654" s="9">
        <v>10.437472838207087</v>
      </c>
      <c r="G654">
        <f t="shared" si="12"/>
        <v>1.9999999999999966E-2</v>
      </c>
    </row>
    <row r="655" spans="2:7" x14ac:dyDescent="0.2">
      <c r="B655" s="10">
        <v>605</v>
      </c>
      <c r="C655" s="9">
        <v>93.500959367942329</v>
      </c>
      <c r="D655" s="9">
        <v>74.800767494353863</v>
      </c>
      <c r="E655" s="9">
        <v>0</v>
      </c>
      <c r="F655" s="9">
        <v>0</v>
      </c>
      <c r="G655">
        <f t="shared" si="12"/>
        <v>-0.27034204044059562</v>
      </c>
    </row>
    <row r="656" spans="2:7" x14ac:dyDescent="0.2">
      <c r="B656" s="10">
        <v>606</v>
      </c>
      <c r="C656" s="9">
        <v>130.69660075185678</v>
      </c>
      <c r="D656" s="9">
        <v>100</v>
      </c>
      <c r="E656" s="9">
        <v>10.050763828886311</v>
      </c>
      <c r="F656" s="9">
        <v>20.645836922970467</v>
      </c>
      <c r="G656">
        <f t="shared" si="12"/>
        <v>1.9999999999999966E-2</v>
      </c>
    </row>
    <row r="657" spans="2:7" x14ac:dyDescent="0.2">
      <c r="B657" s="10">
        <v>607</v>
      </c>
      <c r="C657" s="9">
        <v>144.84448489989629</v>
      </c>
      <c r="D657" s="9">
        <v>100</v>
      </c>
      <c r="E657" s="9">
        <v>15.002523280700137</v>
      </c>
      <c r="F657" s="9">
        <v>29.841961619196148</v>
      </c>
      <c r="G657">
        <f t="shared" si="12"/>
        <v>1.9999999999999966E-2</v>
      </c>
    </row>
    <row r="658" spans="2:7" x14ac:dyDescent="0.2">
      <c r="B658" s="10">
        <v>608</v>
      </c>
      <c r="C658" s="9">
        <v>92.974399530591299</v>
      </c>
      <c r="D658" s="9">
        <v>74.379519624473033</v>
      </c>
      <c r="E658" s="9">
        <v>0</v>
      </c>
      <c r="F658" s="9">
        <v>0</v>
      </c>
      <c r="G658">
        <f t="shared" si="12"/>
        <v>-0.27598955590845969</v>
      </c>
    </row>
    <row r="659" spans="2:7" x14ac:dyDescent="0.2">
      <c r="B659" s="10">
        <v>609</v>
      </c>
      <c r="C659" s="9">
        <v>135.36526603625995</v>
      </c>
      <c r="D659" s="9">
        <v>100</v>
      </c>
      <c r="E659" s="9">
        <v>11.684796678427421</v>
      </c>
      <c r="F659" s="9">
        <v>23.680469357832532</v>
      </c>
      <c r="G659">
        <f t="shared" si="12"/>
        <v>1.9999999999999966E-2</v>
      </c>
    </row>
    <row r="660" spans="2:7" x14ac:dyDescent="0.2">
      <c r="B660" s="10">
        <v>610</v>
      </c>
      <c r="C660" s="9">
        <v>144.68904332197096</v>
      </c>
      <c r="D660" s="9">
        <v>100</v>
      </c>
      <c r="E660" s="9">
        <v>14.948118728426271</v>
      </c>
      <c r="F660" s="9">
        <v>29.740924593544683</v>
      </c>
      <c r="G660">
        <f t="shared" si="12"/>
        <v>1.9999999999999966E-2</v>
      </c>
    </row>
    <row r="661" spans="2:7" x14ac:dyDescent="0.2">
      <c r="B661" s="10">
        <v>611</v>
      </c>
      <c r="C661" s="9">
        <v>109.98343682680411</v>
      </c>
      <c r="D661" s="9">
        <v>100</v>
      </c>
      <c r="E661" s="9">
        <v>2.8011564551178765</v>
      </c>
      <c r="F661" s="9">
        <v>7.1822803716862325</v>
      </c>
      <c r="G661">
        <f t="shared" si="12"/>
        <v>1.9999999999999966E-2</v>
      </c>
    </row>
    <row r="662" spans="2:7" x14ac:dyDescent="0.2">
      <c r="B662" s="10">
        <v>612</v>
      </c>
      <c r="C662" s="9">
        <v>129.29303539416097</v>
      </c>
      <c r="D662" s="9">
        <v>100</v>
      </c>
      <c r="E662" s="9">
        <v>9.5595159536927756</v>
      </c>
      <c r="F662" s="9">
        <v>19.733519440468193</v>
      </c>
      <c r="G662">
        <f t="shared" si="12"/>
        <v>1.9999999999999966E-2</v>
      </c>
    </row>
    <row r="663" spans="2:7" x14ac:dyDescent="0.2">
      <c r="B663" s="10">
        <v>613</v>
      </c>
      <c r="C663" s="9">
        <v>125.72116394958866</v>
      </c>
      <c r="D663" s="9">
        <v>100</v>
      </c>
      <c r="E663" s="9">
        <v>8.3093609480924684</v>
      </c>
      <c r="F663" s="9">
        <v>17.411803001496189</v>
      </c>
      <c r="G663">
        <f t="shared" si="12"/>
        <v>1.9999999999999966E-2</v>
      </c>
    </row>
    <row r="664" spans="2:7" x14ac:dyDescent="0.2">
      <c r="B664" s="10">
        <v>614</v>
      </c>
      <c r="C664" s="9">
        <v>108.18716588125716</v>
      </c>
      <c r="D664" s="9">
        <v>100</v>
      </c>
      <c r="E664" s="9">
        <v>2.1724616241764436</v>
      </c>
      <c r="F664" s="9">
        <v>6.0147042570807141</v>
      </c>
      <c r="G664">
        <f t="shared" si="12"/>
        <v>1.9999999999999966E-2</v>
      </c>
    </row>
    <row r="665" spans="2:7" x14ac:dyDescent="0.2">
      <c r="B665" s="10">
        <v>615</v>
      </c>
      <c r="C665" s="9">
        <v>104.37263850614819</v>
      </c>
      <c r="D665" s="9">
        <v>100</v>
      </c>
      <c r="E665" s="9">
        <v>0.8373770428883055</v>
      </c>
      <c r="F665" s="9">
        <v>3.5352614632598867</v>
      </c>
      <c r="G665">
        <f t="shared" si="12"/>
        <v>1.9999999999999966E-2</v>
      </c>
    </row>
    <row r="666" spans="2:7" x14ac:dyDescent="0.2">
      <c r="B666" s="10">
        <v>616</v>
      </c>
      <c r="C666" s="9">
        <v>109.79891838705026</v>
      </c>
      <c r="D666" s="9">
        <v>100</v>
      </c>
      <c r="E666" s="9">
        <v>2.7365750012040309</v>
      </c>
      <c r="F666" s="9">
        <v>7.0623433858462334</v>
      </c>
      <c r="G666">
        <f t="shared" si="12"/>
        <v>1.9999999999999966E-2</v>
      </c>
    </row>
    <row r="667" spans="2:7" x14ac:dyDescent="0.2">
      <c r="B667" s="10">
        <v>617</v>
      </c>
      <c r="C667" s="9">
        <v>166.22836573315976</v>
      </c>
      <c r="D667" s="9">
        <v>100</v>
      </c>
      <c r="E667" s="9">
        <v>22.486881572342355</v>
      </c>
      <c r="F667" s="9">
        <v>43.741484160817407</v>
      </c>
      <c r="G667">
        <f t="shared" si="12"/>
        <v>1.9999999999999966E-2</v>
      </c>
    </row>
    <row r="668" spans="2:7" x14ac:dyDescent="0.2">
      <c r="B668" s="10">
        <v>618</v>
      </c>
      <c r="C668" s="9">
        <v>102.29654205766714</v>
      </c>
      <c r="D668" s="9">
        <v>100</v>
      </c>
      <c r="E668" s="9">
        <v>0.11074328591993704</v>
      </c>
      <c r="F668" s="9">
        <v>2.1857987717472023</v>
      </c>
      <c r="G668">
        <f t="shared" si="12"/>
        <v>1.9999999999999966E-2</v>
      </c>
    </row>
    <row r="669" spans="2:7" x14ac:dyDescent="0.2">
      <c r="B669" s="10">
        <v>619</v>
      </c>
      <c r="C669" s="9">
        <v>130.25839022003231</v>
      </c>
      <c r="D669" s="9">
        <v>100</v>
      </c>
      <c r="E669" s="9">
        <v>9.8973901427477458</v>
      </c>
      <c r="F669" s="9">
        <v>20.361000077284565</v>
      </c>
      <c r="G669">
        <f t="shared" si="12"/>
        <v>1.9999999999999966E-2</v>
      </c>
    </row>
    <row r="670" spans="2:7" x14ac:dyDescent="0.2">
      <c r="B670" s="10">
        <v>620</v>
      </c>
      <c r="C670" s="9">
        <v>89.51959853909834</v>
      </c>
      <c r="D670" s="9">
        <v>71.615678831278672</v>
      </c>
      <c r="E670" s="9">
        <v>0</v>
      </c>
      <c r="F670" s="9">
        <v>0</v>
      </c>
      <c r="G670">
        <f t="shared" si="12"/>
        <v>-0.31385615790320986</v>
      </c>
    </row>
    <row r="671" spans="2:7" x14ac:dyDescent="0.2">
      <c r="B671" s="10">
        <v>621</v>
      </c>
      <c r="C671" s="9">
        <v>68.529789131496699</v>
      </c>
      <c r="D671" s="9">
        <v>54.823831305197359</v>
      </c>
      <c r="E671" s="9">
        <v>0</v>
      </c>
      <c r="F671" s="9">
        <v>0</v>
      </c>
      <c r="G671">
        <f t="shared" si="12"/>
        <v>-0.58104520873401178</v>
      </c>
    </row>
    <row r="672" spans="2:7" x14ac:dyDescent="0.2">
      <c r="B672" s="10">
        <v>622</v>
      </c>
      <c r="C672" s="9">
        <v>87.374317054002418</v>
      </c>
      <c r="D672" s="9">
        <v>69.899453643201937</v>
      </c>
      <c r="E672" s="9">
        <v>0</v>
      </c>
      <c r="F672" s="9">
        <v>0</v>
      </c>
      <c r="G672">
        <f t="shared" si="12"/>
        <v>-0.33811235304207954</v>
      </c>
    </row>
    <row r="673" spans="2:7" x14ac:dyDescent="0.2">
      <c r="B673" s="10">
        <v>623</v>
      </c>
      <c r="C673" s="9">
        <v>117.35959638377371</v>
      </c>
      <c r="D673" s="9">
        <v>100</v>
      </c>
      <c r="E673" s="9">
        <v>5.3828123000572354</v>
      </c>
      <c r="F673" s="9">
        <v>11.976784083716471</v>
      </c>
      <c r="G673">
        <f t="shared" si="12"/>
        <v>1.9999999999999966E-2</v>
      </c>
    </row>
    <row r="674" spans="2:7" x14ac:dyDescent="0.2">
      <c r="B674" s="10">
        <v>624</v>
      </c>
      <c r="C674" s="9">
        <v>101.09446612034378</v>
      </c>
      <c r="D674" s="9">
        <v>100</v>
      </c>
      <c r="E674" s="9">
        <v>-0.309983292143238</v>
      </c>
      <c r="F674" s="9">
        <v>1.4044494124870197</v>
      </c>
      <c r="G674">
        <f t="shared" si="12"/>
        <v>1.9999999999999966E-2</v>
      </c>
    </row>
    <row r="675" spans="2:7" x14ac:dyDescent="0.2">
      <c r="B675" s="10">
        <v>625</v>
      </c>
      <c r="C675" s="9">
        <v>88.649630874324629</v>
      </c>
      <c r="D675" s="9">
        <v>70.9197046994597</v>
      </c>
      <c r="E675" s="9">
        <v>0</v>
      </c>
      <c r="F675" s="9">
        <v>0</v>
      </c>
      <c r="G675">
        <f t="shared" si="12"/>
        <v>-0.32362186864495934</v>
      </c>
    </row>
    <row r="676" spans="2:7" x14ac:dyDescent="0.2">
      <c r="B676" s="10">
        <v>626</v>
      </c>
      <c r="C676" s="9">
        <v>128.48225502930109</v>
      </c>
      <c r="D676" s="9">
        <v>100</v>
      </c>
      <c r="E676" s="9">
        <v>9.2757428259918182</v>
      </c>
      <c r="F676" s="9">
        <v>19.206512203309266</v>
      </c>
      <c r="G676">
        <f t="shared" si="12"/>
        <v>1.9999999999999966E-2</v>
      </c>
    </row>
    <row r="677" spans="2:7" x14ac:dyDescent="0.2">
      <c r="B677" s="10">
        <v>627</v>
      </c>
      <c r="C677" s="9">
        <v>76.417619453559155</v>
      </c>
      <c r="D677" s="9">
        <v>61.134095562847321</v>
      </c>
      <c r="E677" s="9">
        <v>0</v>
      </c>
      <c r="F677" s="9">
        <v>0</v>
      </c>
      <c r="G677">
        <f t="shared" si="12"/>
        <v>-0.47210044659890471</v>
      </c>
    </row>
    <row r="678" spans="2:7" x14ac:dyDescent="0.2">
      <c r="B678" s="10">
        <v>628</v>
      </c>
      <c r="C678" s="9">
        <v>86.134063548653927</v>
      </c>
      <c r="D678" s="9">
        <v>68.907250838923147</v>
      </c>
      <c r="E678" s="9">
        <v>0</v>
      </c>
      <c r="F678" s="9">
        <v>0</v>
      </c>
      <c r="G678">
        <f t="shared" si="12"/>
        <v>-0.3524087763658495</v>
      </c>
    </row>
    <row r="679" spans="2:7" x14ac:dyDescent="0.2">
      <c r="B679" s="10">
        <v>629</v>
      </c>
      <c r="C679" s="9">
        <v>97.667195243910584</v>
      </c>
      <c r="D679" s="9">
        <v>78.13375619512847</v>
      </c>
      <c r="E679" s="9">
        <v>0</v>
      </c>
      <c r="F679" s="9">
        <v>0</v>
      </c>
      <c r="G679">
        <f t="shared" si="12"/>
        <v>-0.22674800491429661</v>
      </c>
    </row>
    <row r="680" spans="2:7" x14ac:dyDescent="0.2">
      <c r="B680" s="10">
        <v>630</v>
      </c>
      <c r="C680" s="9">
        <v>104.99084856729033</v>
      </c>
      <c r="D680" s="9">
        <v>100</v>
      </c>
      <c r="E680" s="9">
        <v>1.0537505642880531</v>
      </c>
      <c r="F680" s="9">
        <v>3.9370980030022751</v>
      </c>
      <c r="G680">
        <f t="shared" si="12"/>
        <v>1.9999999999999966E-2</v>
      </c>
    </row>
    <row r="681" spans="2:7" x14ac:dyDescent="0.2">
      <c r="B681" s="10">
        <v>631</v>
      </c>
      <c r="C681" s="9">
        <v>113.05693719545448</v>
      </c>
      <c r="D681" s="9">
        <v>100</v>
      </c>
      <c r="E681" s="9">
        <v>3.8768815841455062</v>
      </c>
      <c r="F681" s="9">
        <v>9.1800556113089744</v>
      </c>
      <c r="G681">
        <f t="shared" si="12"/>
        <v>1.9999999999999966E-2</v>
      </c>
    </row>
    <row r="682" spans="2:7" x14ac:dyDescent="0.2">
      <c r="B682" s="10">
        <v>632</v>
      </c>
      <c r="C682" s="9">
        <v>83.089977482001117</v>
      </c>
      <c r="D682" s="9">
        <v>66.471981985600891</v>
      </c>
      <c r="E682" s="9">
        <v>0</v>
      </c>
      <c r="F682" s="9">
        <v>0</v>
      </c>
      <c r="G682">
        <f t="shared" si="12"/>
        <v>-0.38838965063277597</v>
      </c>
    </row>
    <row r="683" spans="2:7" x14ac:dyDescent="0.2">
      <c r="B683" s="10">
        <v>633</v>
      </c>
      <c r="C683" s="9">
        <v>144.65386266206701</v>
      </c>
      <c r="D683" s="9">
        <v>100</v>
      </c>
      <c r="E683" s="9">
        <v>14.935805497459892</v>
      </c>
      <c r="F683" s="9">
        <v>29.718057164607121</v>
      </c>
      <c r="G683">
        <f t="shared" si="12"/>
        <v>1.9999999999999966E-2</v>
      </c>
    </row>
    <row r="684" spans="2:7" x14ac:dyDescent="0.2">
      <c r="B684" s="10">
        <v>634</v>
      </c>
      <c r="C684" s="9">
        <v>100.62280881967386</v>
      </c>
      <c r="D684" s="9">
        <v>100</v>
      </c>
      <c r="E684" s="9">
        <v>-0.47506334737770922</v>
      </c>
      <c r="F684" s="9">
        <v>1.0978721670515732</v>
      </c>
      <c r="G684">
        <f t="shared" si="12"/>
        <v>1.9999999999999966E-2</v>
      </c>
    </row>
    <row r="685" spans="2:7" x14ac:dyDescent="0.2">
      <c r="B685" s="10">
        <v>635</v>
      </c>
      <c r="C685" s="9">
        <v>135.28562057836672</v>
      </c>
      <c r="D685" s="9">
        <v>100</v>
      </c>
      <c r="E685" s="9">
        <v>11.656920768164788</v>
      </c>
      <c r="F685" s="9">
        <v>23.62869981020193</v>
      </c>
      <c r="G685">
        <f t="shared" si="12"/>
        <v>1.9999999999999966E-2</v>
      </c>
    </row>
    <row r="686" spans="2:7" x14ac:dyDescent="0.2">
      <c r="B686" s="10">
        <v>636</v>
      </c>
      <c r="C686" s="9">
        <v>161.77675335924735</v>
      </c>
      <c r="D686" s="9">
        <v>100</v>
      </c>
      <c r="E686" s="9">
        <v>20.928817241473009</v>
      </c>
      <c r="F686" s="9">
        <v>40.847936117774339</v>
      </c>
      <c r="G686">
        <f t="shared" si="12"/>
        <v>1.9999999999999966E-2</v>
      </c>
    </row>
    <row r="687" spans="2:7" x14ac:dyDescent="0.2">
      <c r="B687" s="10">
        <v>637</v>
      </c>
      <c r="C687" s="9">
        <v>145.39034967496104</v>
      </c>
      <c r="D687" s="9">
        <v>100</v>
      </c>
      <c r="E687" s="9">
        <v>15.193575951972802</v>
      </c>
      <c r="F687" s="9">
        <v>30.19677372298824</v>
      </c>
      <c r="G687">
        <f t="shared" si="12"/>
        <v>1.9999999999999966E-2</v>
      </c>
    </row>
    <row r="688" spans="2:7" x14ac:dyDescent="0.2">
      <c r="B688" s="10">
        <v>638</v>
      </c>
      <c r="C688" s="9">
        <v>116.83360381969874</v>
      </c>
      <c r="D688" s="9">
        <v>100</v>
      </c>
      <c r="E688" s="9">
        <v>5.1987149026309964</v>
      </c>
      <c r="F688" s="9">
        <v>11.634888917067741</v>
      </c>
      <c r="G688">
        <f t="shared" si="12"/>
        <v>1.9999999999999966E-2</v>
      </c>
    </row>
    <row r="689" spans="2:7" x14ac:dyDescent="0.2">
      <c r="B689" s="10">
        <v>639</v>
      </c>
      <c r="C689" s="9">
        <v>90.414503435453469</v>
      </c>
      <c r="D689" s="9">
        <v>72.331602748362769</v>
      </c>
      <c r="E689" s="9">
        <v>0</v>
      </c>
      <c r="F689" s="9">
        <v>0</v>
      </c>
      <c r="G689">
        <f t="shared" si="12"/>
        <v>-0.30390904653979411</v>
      </c>
    </row>
    <row r="690" spans="2:7" x14ac:dyDescent="0.2">
      <c r="B690" s="10">
        <v>640</v>
      </c>
      <c r="C690" s="9">
        <v>72.799728968219782</v>
      </c>
      <c r="D690" s="9">
        <v>58.239783174575827</v>
      </c>
      <c r="E690" s="9">
        <v>0</v>
      </c>
      <c r="F690" s="9">
        <v>0</v>
      </c>
      <c r="G690">
        <f t="shared" si="12"/>
        <v>-0.52060150507060521</v>
      </c>
    </row>
    <row r="691" spans="2:7" x14ac:dyDescent="0.2">
      <c r="B691" s="10">
        <v>641</v>
      </c>
      <c r="C691" s="9">
        <v>82.019843243464379</v>
      </c>
      <c r="D691" s="9">
        <v>65.615874594771498</v>
      </c>
      <c r="E691" s="9">
        <v>0</v>
      </c>
      <c r="F691" s="9">
        <v>0</v>
      </c>
      <c r="G691">
        <f t="shared" ref="G691:G754" si="13">LN(D691/$C$7)</f>
        <v>-0.40135252853913694</v>
      </c>
    </row>
    <row r="692" spans="2:7" x14ac:dyDescent="0.2">
      <c r="B692" s="10">
        <v>642</v>
      </c>
      <c r="C692" s="9">
        <v>105.70994593557378</v>
      </c>
      <c r="D692" s="9">
        <v>100</v>
      </c>
      <c r="E692" s="9">
        <v>1.305434643187263</v>
      </c>
      <c r="F692" s="9">
        <v>4.4045112923865215</v>
      </c>
      <c r="G692">
        <f t="shared" si="13"/>
        <v>1.9999999999999966E-2</v>
      </c>
    </row>
    <row r="693" spans="2:7" x14ac:dyDescent="0.2">
      <c r="B693" s="10">
        <v>643</v>
      </c>
      <c r="C693" s="9">
        <v>108.78364817522331</v>
      </c>
      <c r="D693" s="9">
        <v>100</v>
      </c>
      <c r="E693" s="9">
        <v>2.3812304270645952</v>
      </c>
      <c r="F693" s="9">
        <v>6.4024177481587099</v>
      </c>
      <c r="G693">
        <f t="shared" si="13"/>
        <v>1.9999999999999966E-2</v>
      </c>
    </row>
    <row r="694" spans="2:7" x14ac:dyDescent="0.2">
      <c r="B694" s="10">
        <v>644</v>
      </c>
      <c r="C694" s="9">
        <v>126.32888320076434</v>
      </c>
      <c r="D694" s="9">
        <v>100</v>
      </c>
      <c r="E694" s="9">
        <v>8.5220626860039559</v>
      </c>
      <c r="F694" s="9">
        <v>17.806820514760382</v>
      </c>
      <c r="G694">
        <f t="shared" si="13"/>
        <v>1.9999999999999966E-2</v>
      </c>
    </row>
    <row r="695" spans="2:7" x14ac:dyDescent="0.2">
      <c r="B695" s="10">
        <v>645</v>
      </c>
      <c r="C695" s="9">
        <v>110.98255597855646</v>
      </c>
      <c r="D695" s="9">
        <v>100</v>
      </c>
      <c r="E695" s="9">
        <v>3.1508481582312</v>
      </c>
      <c r="F695" s="9">
        <v>7.8317078203252617</v>
      </c>
      <c r="G695">
        <f t="shared" si="13"/>
        <v>1.9999999999999966E-2</v>
      </c>
    </row>
    <row r="696" spans="2:7" x14ac:dyDescent="0.2">
      <c r="B696" s="10">
        <v>646</v>
      </c>
      <c r="C696" s="9">
        <v>61.608794984694448</v>
      </c>
      <c r="D696" s="9">
        <v>49.287035987755559</v>
      </c>
      <c r="E696" s="9">
        <v>0</v>
      </c>
      <c r="F696" s="9">
        <v>0</v>
      </c>
      <c r="G696">
        <f t="shared" si="13"/>
        <v>-0.68750910122875164</v>
      </c>
    </row>
    <row r="697" spans="2:7" x14ac:dyDescent="0.2">
      <c r="B697" s="10">
        <v>647</v>
      </c>
      <c r="C697" s="9">
        <v>63.142194797989461</v>
      </c>
      <c r="D697" s="9">
        <v>50.513755838391567</v>
      </c>
      <c r="E697" s="9">
        <v>0</v>
      </c>
      <c r="F697" s="9">
        <v>0</v>
      </c>
      <c r="G697">
        <f t="shared" si="13"/>
        <v>-0.66292449395953412</v>
      </c>
    </row>
    <row r="698" spans="2:7" x14ac:dyDescent="0.2">
      <c r="B698" s="10">
        <v>648</v>
      </c>
      <c r="C698" s="9">
        <v>70.516012533325636</v>
      </c>
      <c r="D698" s="9">
        <v>56.412810026660509</v>
      </c>
      <c r="E698" s="9">
        <v>0</v>
      </c>
      <c r="F698" s="9">
        <v>0</v>
      </c>
      <c r="G698">
        <f t="shared" si="13"/>
        <v>-0.55247392514148885</v>
      </c>
    </row>
    <row r="699" spans="2:7" x14ac:dyDescent="0.2">
      <c r="B699" s="10">
        <v>649</v>
      </c>
      <c r="C699" s="9">
        <v>96.839431363020083</v>
      </c>
      <c r="D699" s="9">
        <v>77.471545090416072</v>
      </c>
      <c r="E699" s="9">
        <v>0</v>
      </c>
      <c r="F699" s="9">
        <v>0</v>
      </c>
      <c r="G699">
        <f t="shared" si="13"/>
        <v>-0.23525947717223494</v>
      </c>
    </row>
    <row r="700" spans="2:7" x14ac:dyDescent="0.2">
      <c r="B700" s="10">
        <v>650</v>
      </c>
      <c r="C700" s="9">
        <v>111.60817818866245</v>
      </c>
      <c r="D700" s="9">
        <v>100</v>
      </c>
      <c r="E700" s="9">
        <v>3.3698159317682954</v>
      </c>
      <c r="F700" s="9">
        <v>8.2383622568941544</v>
      </c>
      <c r="G700">
        <f t="shared" si="13"/>
        <v>1.9999999999999966E-2</v>
      </c>
    </row>
    <row r="701" spans="2:7" x14ac:dyDescent="0.2">
      <c r="B701" s="10">
        <v>651</v>
      </c>
      <c r="C701" s="9">
        <v>131.41854803897454</v>
      </c>
      <c r="D701" s="9">
        <v>100</v>
      </c>
      <c r="E701" s="9">
        <v>10.303445379377525</v>
      </c>
      <c r="F701" s="9">
        <v>21.11510265959701</v>
      </c>
      <c r="G701">
        <f t="shared" si="13"/>
        <v>1.9999999999999966E-2</v>
      </c>
    </row>
    <row r="702" spans="2:7" x14ac:dyDescent="0.2">
      <c r="B702" s="10">
        <v>652</v>
      </c>
      <c r="C702" s="9">
        <v>109.02512961521316</v>
      </c>
      <c r="D702" s="9">
        <v>100</v>
      </c>
      <c r="E702" s="9">
        <v>2.4657489310610443</v>
      </c>
      <c r="F702" s="9">
        <v>6.5593806841521154</v>
      </c>
      <c r="G702">
        <f t="shared" si="13"/>
        <v>1.9999999999999966E-2</v>
      </c>
    </row>
    <row r="703" spans="2:7" x14ac:dyDescent="0.2">
      <c r="B703" s="10">
        <v>653</v>
      </c>
      <c r="C703" s="9">
        <v>141.18995319544032</v>
      </c>
      <c r="D703" s="9">
        <v>100</v>
      </c>
      <c r="E703" s="9">
        <v>13.72343718414055</v>
      </c>
      <c r="F703" s="9">
        <v>27.466516011299774</v>
      </c>
      <c r="G703">
        <f t="shared" si="13"/>
        <v>1.9999999999999966E-2</v>
      </c>
    </row>
    <row r="704" spans="2:7" x14ac:dyDescent="0.2">
      <c r="B704" s="10">
        <v>654</v>
      </c>
      <c r="C704" s="9">
        <v>115.93760452234886</v>
      </c>
      <c r="D704" s="9">
        <v>100</v>
      </c>
      <c r="E704" s="9">
        <v>4.8851151485585405</v>
      </c>
      <c r="F704" s="9">
        <v>11.052489373790323</v>
      </c>
      <c r="G704">
        <f t="shared" si="13"/>
        <v>1.9999999999999966E-2</v>
      </c>
    </row>
    <row r="705" spans="2:7" x14ac:dyDescent="0.2">
      <c r="B705" s="10">
        <v>655</v>
      </c>
      <c r="C705" s="9">
        <v>97.024815436308032</v>
      </c>
      <c r="D705" s="9">
        <v>77.619852349046425</v>
      </c>
      <c r="E705" s="9">
        <v>0</v>
      </c>
      <c r="F705" s="9">
        <v>0</v>
      </c>
      <c r="G705">
        <f t="shared" si="13"/>
        <v>-0.23334696227734936</v>
      </c>
    </row>
    <row r="706" spans="2:7" x14ac:dyDescent="0.2">
      <c r="B706" s="10">
        <v>656</v>
      </c>
      <c r="C706" s="9">
        <v>108.91855178767094</v>
      </c>
      <c r="D706" s="9">
        <v>100</v>
      </c>
      <c r="E706" s="9">
        <v>2.4284466914212657</v>
      </c>
      <c r="F706" s="9">
        <v>6.4901050962496694</v>
      </c>
      <c r="G706">
        <f t="shared" si="13"/>
        <v>1.9999999999999966E-2</v>
      </c>
    </row>
    <row r="707" spans="2:7" x14ac:dyDescent="0.2">
      <c r="B707" s="10">
        <v>657</v>
      </c>
      <c r="C707" s="9">
        <v>129.74003680618074</v>
      </c>
      <c r="D707" s="9">
        <v>100</v>
      </c>
      <c r="E707" s="9">
        <v>9.7159664478996959</v>
      </c>
      <c r="F707" s="9">
        <v>20.024070358281044</v>
      </c>
      <c r="G707">
        <f t="shared" si="13"/>
        <v>1.9999999999999966E-2</v>
      </c>
    </row>
    <row r="708" spans="2:7" x14ac:dyDescent="0.2">
      <c r="B708" s="10">
        <v>658</v>
      </c>
      <c r="C708" s="9">
        <v>116.06974878561331</v>
      </c>
      <c r="D708" s="9">
        <v>100</v>
      </c>
      <c r="E708" s="9">
        <v>4.931365640701098</v>
      </c>
      <c r="F708" s="9">
        <v>11.138383144912215</v>
      </c>
      <c r="G708">
        <f t="shared" si="13"/>
        <v>1.9999999999999966E-2</v>
      </c>
    </row>
    <row r="709" spans="2:7" x14ac:dyDescent="0.2">
      <c r="B709" s="10">
        <v>659</v>
      </c>
      <c r="C709" s="9">
        <v>102.32813760044787</v>
      </c>
      <c r="D709" s="9">
        <v>100</v>
      </c>
      <c r="E709" s="9">
        <v>0.12180172589319439</v>
      </c>
      <c r="F709" s="9">
        <v>2.2063358745546799</v>
      </c>
      <c r="G709">
        <f t="shared" si="13"/>
        <v>1.9999999999999966E-2</v>
      </c>
    </row>
    <row r="710" spans="2:7" x14ac:dyDescent="0.2">
      <c r="B710" s="10">
        <v>660</v>
      </c>
      <c r="C710" s="9">
        <v>129.43872634295747</v>
      </c>
      <c r="D710" s="9">
        <v>100</v>
      </c>
      <c r="E710" s="9">
        <v>9.6105077857715511</v>
      </c>
      <c r="F710" s="9">
        <v>19.828218557185913</v>
      </c>
      <c r="G710">
        <f t="shared" si="13"/>
        <v>1.9999999999999966E-2</v>
      </c>
    </row>
    <row r="711" spans="2:7" x14ac:dyDescent="0.2">
      <c r="B711" s="10">
        <v>661</v>
      </c>
      <c r="C711" s="9">
        <v>109.66040111793714</v>
      </c>
      <c r="D711" s="9">
        <v>100</v>
      </c>
      <c r="E711" s="9">
        <v>2.6880939570144378</v>
      </c>
      <c r="F711" s="9">
        <v>6.9723071609227034</v>
      </c>
      <c r="G711">
        <f t="shared" si="13"/>
        <v>1.9999999999999966E-2</v>
      </c>
    </row>
    <row r="712" spans="2:7" x14ac:dyDescent="0.2">
      <c r="B712" s="10">
        <v>662</v>
      </c>
      <c r="C712" s="9">
        <v>138.32846014729068</v>
      </c>
      <c r="D712" s="9">
        <v>100</v>
      </c>
      <c r="E712" s="9">
        <v>12.721914617288178</v>
      </c>
      <c r="F712" s="9">
        <v>25.606545530002506</v>
      </c>
      <c r="G712">
        <f t="shared" si="13"/>
        <v>1.9999999999999966E-2</v>
      </c>
    </row>
    <row r="713" spans="2:7" x14ac:dyDescent="0.2">
      <c r="B713" s="10">
        <v>663</v>
      </c>
      <c r="C713" s="9">
        <v>70.481212429052817</v>
      </c>
      <c r="D713" s="9">
        <v>56.384969943242254</v>
      </c>
      <c r="E713" s="9">
        <v>0</v>
      </c>
      <c r="F713" s="9">
        <v>0</v>
      </c>
      <c r="G713">
        <f t="shared" si="13"/>
        <v>-0.55296755336699122</v>
      </c>
    </row>
    <row r="714" spans="2:7" x14ac:dyDescent="0.2">
      <c r="B714" s="10">
        <v>664</v>
      </c>
      <c r="C714" s="9">
        <v>82.876170557000506</v>
      </c>
      <c r="D714" s="9">
        <v>66.300936445600399</v>
      </c>
      <c r="E714" s="9">
        <v>0</v>
      </c>
      <c r="F714" s="9">
        <v>0</v>
      </c>
      <c r="G714">
        <f t="shared" si="13"/>
        <v>-0.39096616452799243</v>
      </c>
    </row>
    <row r="715" spans="2:7" x14ac:dyDescent="0.2">
      <c r="B715" s="10">
        <v>665</v>
      </c>
      <c r="C715" s="9">
        <v>146.54569838905411</v>
      </c>
      <c r="D715" s="9">
        <v>100</v>
      </c>
      <c r="E715" s="9">
        <v>15.597948001905376</v>
      </c>
      <c r="F715" s="9">
        <v>30.947750387148734</v>
      </c>
      <c r="G715">
        <f t="shared" si="13"/>
        <v>1.9999999999999966E-2</v>
      </c>
    </row>
    <row r="716" spans="2:7" x14ac:dyDescent="0.2">
      <c r="B716" s="10">
        <v>666</v>
      </c>
      <c r="C716" s="9">
        <v>108.90155995944657</v>
      </c>
      <c r="D716" s="9">
        <v>100</v>
      </c>
      <c r="E716" s="9">
        <v>2.4224995515427388</v>
      </c>
      <c r="F716" s="9">
        <v>6.4790604079038339</v>
      </c>
      <c r="G716">
        <f t="shared" si="13"/>
        <v>1.9999999999999966E-2</v>
      </c>
    </row>
    <row r="717" spans="2:7" x14ac:dyDescent="0.2">
      <c r="B717" s="10">
        <v>667</v>
      </c>
      <c r="C717" s="9">
        <v>146.91567471083823</v>
      </c>
      <c r="D717" s="9">
        <v>100</v>
      </c>
      <c r="E717" s="9">
        <v>15.727439714529819</v>
      </c>
      <c r="F717" s="9">
        <v>31.188234996308413</v>
      </c>
      <c r="G717">
        <f t="shared" si="13"/>
        <v>1.9999999999999966E-2</v>
      </c>
    </row>
    <row r="718" spans="2:7" x14ac:dyDescent="0.2">
      <c r="B718" s="10">
        <v>668</v>
      </c>
      <c r="C718" s="9">
        <v>88.115028761331047</v>
      </c>
      <c r="D718" s="9">
        <v>70.492023009064837</v>
      </c>
      <c r="E718" s="9">
        <v>0</v>
      </c>
      <c r="F718" s="9">
        <v>0</v>
      </c>
      <c r="G718">
        <f t="shared" si="13"/>
        <v>-0.32967063137926872</v>
      </c>
    </row>
    <row r="719" spans="2:7" x14ac:dyDescent="0.2">
      <c r="B719" s="10">
        <v>669</v>
      </c>
      <c r="C719" s="9">
        <v>117.05885361073796</v>
      </c>
      <c r="D719" s="9">
        <v>100</v>
      </c>
      <c r="E719" s="9">
        <v>5.2775523294947222</v>
      </c>
      <c r="F719" s="9">
        <v>11.781301281243234</v>
      </c>
      <c r="G719">
        <f t="shared" si="13"/>
        <v>1.9999999999999966E-2</v>
      </c>
    </row>
    <row r="720" spans="2:7" x14ac:dyDescent="0.2">
      <c r="B720" s="10">
        <v>670</v>
      </c>
      <c r="C720" s="9">
        <v>83.519918111686678</v>
      </c>
      <c r="D720" s="9">
        <v>66.815934489349345</v>
      </c>
      <c r="E720" s="9">
        <v>0</v>
      </c>
      <c r="F720" s="9">
        <v>0</v>
      </c>
      <c r="G720">
        <f t="shared" si="13"/>
        <v>-0.38322859363197487</v>
      </c>
    </row>
    <row r="721" spans="2:7" x14ac:dyDescent="0.2">
      <c r="B721" s="10">
        <v>671</v>
      </c>
      <c r="C721" s="9">
        <v>144.63099418284682</v>
      </c>
      <c r="D721" s="9">
        <v>100</v>
      </c>
      <c r="E721" s="9">
        <v>14.927801529732823</v>
      </c>
      <c r="F721" s="9">
        <v>29.703192653113994</v>
      </c>
      <c r="G721">
        <f t="shared" si="13"/>
        <v>1.9999999999999966E-2</v>
      </c>
    </row>
    <row r="722" spans="2:7" x14ac:dyDescent="0.2">
      <c r="B722" s="10">
        <v>672</v>
      </c>
      <c r="C722" s="9">
        <v>94.228496697673918</v>
      </c>
      <c r="D722" s="9">
        <v>75.382797358139129</v>
      </c>
      <c r="E722" s="9">
        <v>0</v>
      </c>
      <c r="F722" s="9">
        <v>0</v>
      </c>
      <c r="G722">
        <f t="shared" si="13"/>
        <v>-0.26259108875356862</v>
      </c>
    </row>
    <row r="723" spans="2:7" x14ac:dyDescent="0.2">
      <c r="B723" s="10">
        <v>673</v>
      </c>
      <c r="C723" s="9">
        <v>149.89819458894004</v>
      </c>
      <c r="D723" s="9">
        <v>100</v>
      </c>
      <c r="E723" s="9">
        <v>16.771321671865454</v>
      </c>
      <c r="F723" s="9">
        <v>33.126872917074593</v>
      </c>
      <c r="G723">
        <f t="shared" si="13"/>
        <v>1.9999999999999966E-2</v>
      </c>
    </row>
    <row r="724" spans="2:7" x14ac:dyDescent="0.2">
      <c r="B724" s="10">
        <v>674</v>
      </c>
      <c r="C724" s="9">
        <v>115.91167677996469</v>
      </c>
      <c r="D724" s="9">
        <v>100</v>
      </c>
      <c r="E724" s="9">
        <v>4.8760404387240808</v>
      </c>
      <c r="F724" s="9">
        <v>11.035636341240613</v>
      </c>
      <c r="G724">
        <f t="shared" si="13"/>
        <v>1.9999999999999966E-2</v>
      </c>
    </row>
    <row r="725" spans="2:7" x14ac:dyDescent="0.2">
      <c r="B725" s="10">
        <v>675</v>
      </c>
      <c r="C725" s="9">
        <v>94.598254143385347</v>
      </c>
      <c r="D725" s="9">
        <v>75.678603314708283</v>
      </c>
      <c r="E725" s="9">
        <v>0</v>
      </c>
      <c r="F725" s="9">
        <v>0</v>
      </c>
      <c r="G725">
        <f t="shared" si="13"/>
        <v>-0.2586747165586849</v>
      </c>
    </row>
    <row r="726" spans="2:7" x14ac:dyDescent="0.2">
      <c r="B726" s="10">
        <v>676</v>
      </c>
      <c r="C726" s="9">
        <v>159.7202628198086</v>
      </c>
      <c r="D726" s="9">
        <v>100</v>
      </c>
      <c r="E726" s="9">
        <v>20.209045552669444</v>
      </c>
      <c r="F726" s="9">
        <v>39.511217267139152</v>
      </c>
      <c r="G726">
        <f t="shared" si="13"/>
        <v>1.9999999999999966E-2</v>
      </c>
    </row>
    <row r="727" spans="2:7" x14ac:dyDescent="0.2">
      <c r="B727" s="10">
        <v>677</v>
      </c>
      <c r="C727" s="9">
        <v>126.15191313082764</v>
      </c>
      <c r="D727" s="9">
        <v>100</v>
      </c>
      <c r="E727" s="9">
        <v>8.460123161526111</v>
      </c>
      <c r="F727" s="9">
        <v>17.691789969301524</v>
      </c>
      <c r="G727">
        <f t="shared" si="13"/>
        <v>1.9999999999999966E-2</v>
      </c>
    </row>
    <row r="728" spans="2:7" x14ac:dyDescent="0.2">
      <c r="B728" s="10">
        <v>678</v>
      </c>
      <c r="C728" s="9">
        <v>93.771649016086258</v>
      </c>
      <c r="D728" s="9">
        <v>75.017319212869012</v>
      </c>
      <c r="E728" s="9">
        <v>0</v>
      </c>
      <c r="F728" s="9">
        <v>0</v>
      </c>
      <c r="G728">
        <f t="shared" si="13"/>
        <v>-0.26745117627210213</v>
      </c>
    </row>
    <row r="729" spans="2:7" x14ac:dyDescent="0.2">
      <c r="B729" s="10">
        <v>679</v>
      </c>
      <c r="C729" s="9">
        <v>68.44118805830027</v>
      </c>
      <c r="D729" s="9">
        <v>54.752950446640213</v>
      </c>
      <c r="E729" s="9">
        <v>0</v>
      </c>
      <c r="F729" s="9">
        <v>0</v>
      </c>
      <c r="G729">
        <f t="shared" si="13"/>
        <v>-0.58233892930711395</v>
      </c>
    </row>
    <row r="730" spans="2:7" x14ac:dyDescent="0.2">
      <c r="B730" s="10">
        <v>680</v>
      </c>
      <c r="C730" s="9">
        <v>120.26966612232837</v>
      </c>
      <c r="D730" s="9">
        <v>100</v>
      </c>
      <c r="E730" s="9">
        <v>6.4013367085513693</v>
      </c>
      <c r="F730" s="9">
        <v>13.868329413777005</v>
      </c>
      <c r="G730">
        <f t="shared" si="13"/>
        <v>1.9999999999999966E-2</v>
      </c>
    </row>
    <row r="731" spans="2:7" x14ac:dyDescent="0.2">
      <c r="B731" s="10">
        <v>681</v>
      </c>
      <c r="C731" s="9">
        <v>77.274267486341586</v>
      </c>
      <c r="D731" s="9">
        <v>61.819413989073269</v>
      </c>
      <c r="E731" s="9">
        <v>0</v>
      </c>
      <c r="F731" s="9">
        <v>0</v>
      </c>
      <c r="G731">
        <f t="shared" si="13"/>
        <v>-0.46095272863876757</v>
      </c>
    </row>
    <row r="732" spans="2:7" x14ac:dyDescent="0.2">
      <c r="B732" s="10">
        <v>682</v>
      </c>
      <c r="C732" s="9">
        <v>111.87894058331258</v>
      </c>
      <c r="D732" s="9">
        <v>100</v>
      </c>
      <c r="E732" s="9">
        <v>3.4645827698958427</v>
      </c>
      <c r="F732" s="9">
        <v>8.4143578134167409</v>
      </c>
      <c r="G732">
        <f t="shared" si="13"/>
        <v>1.9999999999999966E-2</v>
      </c>
    </row>
    <row r="733" spans="2:7" x14ac:dyDescent="0.2">
      <c r="B733" s="10">
        <v>683</v>
      </c>
      <c r="C733" s="9">
        <v>136.84135844670089</v>
      </c>
      <c r="D733" s="9">
        <v>100</v>
      </c>
      <c r="E733" s="9">
        <v>12.201429022081751</v>
      </c>
      <c r="F733" s="9">
        <v>24.639929424619144</v>
      </c>
      <c r="G733">
        <f t="shared" si="13"/>
        <v>1.9999999999999966E-2</v>
      </c>
    </row>
    <row r="734" spans="2:7" x14ac:dyDescent="0.2">
      <c r="B734" s="10">
        <v>684</v>
      </c>
      <c r="C734" s="9">
        <v>148.46721594069214</v>
      </c>
      <c r="D734" s="9">
        <v>100</v>
      </c>
      <c r="E734" s="9">
        <v>16.270479144978687</v>
      </c>
      <c r="F734" s="9">
        <v>32.196736795713456</v>
      </c>
      <c r="G734">
        <f t="shared" si="13"/>
        <v>1.9999999999999966E-2</v>
      </c>
    </row>
    <row r="735" spans="2:7" x14ac:dyDescent="0.2">
      <c r="B735" s="10">
        <v>685</v>
      </c>
      <c r="C735" s="9">
        <v>135.60927691544279</v>
      </c>
      <c r="D735" s="9">
        <v>100</v>
      </c>
      <c r="E735" s="9">
        <v>11.770200486141414</v>
      </c>
      <c r="F735" s="9">
        <v>23.839076429301379</v>
      </c>
      <c r="G735">
        <f t="shared" si="13"/>
        <v>1.9999999999999966E-2</v>
      </c>
    </row>
    <row r="736" spans="2:7" x14ac:dyDescent="0.2">
      <c r="B736" s="10">
        <v>686</v>
      </c>
      <c r="C736" s="9">
        <v>94.148400872953204</v>
      </c>
      <c r="D736" s="9">
        <v>75.318720698362569</v>
      </c>
      <c r="E736" s="9">
        <v>0</v>
      </c>
      <c r="F736" s="9">
        <v>0</v>
      </c>
      <c r="G736">
        <f t="shared" si="13"/>
        <v>-0.26344146722970213</v>
      </c>
    </row>
    <row r="737" spans="2:7" x14ac:dyDescent="0.2">
      <c r="B737" s="10">
        <v>687</v>
      </c>
      <c r="C737" s="9">
        <v>94.88945651857361</v>
      </c>
      <c r="D737" s="9">
        <v>75.911565214858882</v>
      </c>
      <c r="E737" s="9">
        <v>0</v>
      </c>
      <c r="F737" s="9">
        <v>0</v>
      </c>
      <c r="G737">
        <f t="shared" si="13"/>
        <v>-0.25560113882198549</v>
      </c>
    </row>
    <row r="738" spans="2:7" x14ac:dyDescent="0.2">
      <c r="B738" s="10">
        <v>688</v>
      </c>
      <c r="C738" s="9">
        <v>128.24813001891931</v>
      </c>
      <c r="D738" s="9">
        <v>100</v>
      </c>
      <c r="E738" s="9">
        <v>9.1937990723581962</v>
      </c>
      <c r="F738" s="9">
        <v>19.054330946561116</v>
      </c>
      <c r="G738">
        <f t="shared" si="13"/>
        <v>1.9999999999999966E-2</v>
      </c>
    </row>
    <row r="739" spans="2:7" x14ac:dyDescent="0.2">
      <c r="B739" s="10">
        <v>689</v>
      </c>
      <c r="C739" s="9">
        <v>111.84286407241781</v>
      </c>
      <c r="D739" s="9">
        <v>100</v>
      </c>
      <c r="E739" s="9">
        <v>3.4519559910826718</v>
      </c>
      <c r="F739" s="9">
        <v>8.3909080813351391</v>
      </c>
      <c r="G739">
        <f t="shared" si="13"/>
        <v>1.9999999999999966E-2</v>
      </c>
    </row>
    <row r="740" spans="2:7" x14ac:dyDescent="0.2">
      <c r="B740" s="10">
        <v>690</v>
      </c>
      <c r="C740" s="9">
        <v>79.984718829680062</v>
      </c>
      <c r="D740" s="9">
        <v>63.987775063744053</v>
      </c>
      <c r="E740" s="9">
        <v>0</v>
      </c>
      <c r="F740" s="9">
        <v>0</v>
      </c>
      <c r="G740">
        <f t="shared" si="13"/>
        <v>-0.42647813550303648</v>
      </c>
    </row>
    <row r="741" spans="2:7" x14ac:dyDescent="0.2">
      <c r="B741" s="10">
        <v>691</v>
      </c>
      <c r="C741" s="9">
        <v>123.54678264227125</v>
      </c>
      <c r="D741" s="9">
        <v>100</v>
      </c>
      <c r="E741" s="9">
        <v>7.5483274905313769</v>
      </c>
      <c r="F741" s="9">
        <v>15.998455151739876</v>
      </c>
      <c r="G741">
        <f t="shared" si="13"/>
        <v>1.9999999999999966E-2</v>
      </c>
    </row>
    <row r="742" spans="2:7" x14ac:dyDescent="0.2">
      <c r="B742" s="10">
        <v>692</v>
      </c>
      <c r="C742" s="9">
        <v>130.64985977718584</v>
      </c>
      <c r="D742" s="9">
        <v>100</v>
      </c>
      <c r="E742" s="9">
        <v>10.03440448775148</v>
      </c>
      <c r="F742" s="9">
        <v>20.615455289434358</v>
      </c>
      <c r="G742">
        <f t="shared" si="13"/>
        <v>1.9999999999999966E-2</v>
      </c>
    </row>
    <row r="743" spans="2:7" x14ac:dyDescent="0.2">
      <c r="B743" s="10">
        <v>693</v>
      </c>
      <c r="C743" s="9">
        <v>139.6083996005255</v>
      </c>
      <c r="D743" s="9">
        <v>100</v>
      </c>
      <c r="E743" s="9">
        <v>13.169893425920364</v>
      </c>
      <c r="F743" s="9">
        <v>26.438506174605138</v>
      </c>
      <c r="G743">
        <f t="shared" si="13"/>
        <v>1.9999999999999966E-2</v>
      </c>
    </row>
    <row r="744" spans="2:7" x14ac:dyDescent="0.2">
      <c r="B744" s="10">
        <v>694</v>
      </c>
      <c r="C744" s="9">
        <v>111.84088686469617</v>
      </c>
      <c r="D744" s="9">
        <v>100</v>
      </c>
      <c r="E744" s="9">
        <v>3.4512639683800987</v>
      </c>
      <c r="F744" s="9">
        <v>8.3896228963160748</v>
      </c>
      <c r="G744">
        <f t="shared" si="13"/>
        <v>1.9999999999999966E-2</v>
      </c>
    </row>
    <row r="745" spans="2:7" x14ac:dyDescent="0.2">
      <c r="B745" s="10">
        <v>695</v>
      </c>
      <c r="C745" s="9">
        <v>94.713793591105045</v>
      </c>
      <c r="D745" s="9">
        <v>75.77103487288403</v>
      </c>
      <c r="E745" s="9">
        <v>0</v>
      </c>
      <c r="F745" s="9">
        <v>0</v>
      </c>
      <c r="G745">
        <f t="shared" si="13"/>
        <v>-0.25745409205593639</v>
      </c>
    </row>
    <row r="746" spans="2:7" x14ac:dyDescent="0.2">
      <c r="B746" s="10">
        <v>696</v>
      </c>
      <c r="C746" s="9">
        <v>83.174349030133428</v>
      </c>
      <c r="D746" s="9">
        <v>66.539479224106742</v>
      </c>
      <c r="E746" s="9">
        <v>0</v>
      </c>
      <c r="F746" s="9">
        <v>0</v>
      </c>
      <c r="G746">
        <f t="shared" si="13"/>
        <v>-0.38737474193715354</v>
      </c>
    </row>
    <row r="747" spans="2:7" x14ac:dyDescent="0.2">
      <c r="B747" s="10">
        <v>697</v>
      </c>
      <c r="C747" s="9">
        <v>126.59487207431239</v>
      </c>
      <c r="D747" s="9">
        <v>100</v>
      </c>
      <c r="E747" s="9">
        <v>8.6151587917457739</v>
      </c>
      <c r="F747" s="9">
        <v>17.979713282566617</v>
      </c>
      <c r="G747">
        <f t="shared" si="13"/>
        <v>1.9999999999999966E-2</v>
      </c>
    </row>
    <row r="748" spans="2:7" x14ac:dyDescent="0.2">
      <c r="B748" s="10">
        <v>698</v>
      </c>
      <c r="C748" s="9">
        <v>95.730512076183672</v>
      </c>
      <c r="D748" s="9">
        <v>76.584409660946932</v>
      </c>
      <c r="E748" s="9">
        <v>0</v>
      </c>
      <c r="F748" s="9">
        <v>0</v>
      </c>
      <c r="G748">
        <f t="shared" si="13"/>
        <v>-0.24677665918688826</v>
      </c>
    </row>
    <row r="749" spans="2:7" x14ac:dyDescent="0.2">
      <c r="B749" s="10">
        <v>699</v>
      </c>
      <c r="C749" s="9">
        <v>128.28753576335205</v>
      </c>
      <c r="D749" s="9">
        <v>100</v>
      </c>
      <c r="E749" s="9">
        <v>9.2075910829096568</v>
      </c>
      <c r="F749" s="9">
        <v>19.079944680442395</v>
      </c>
      <c r="G749">
        <f t="shared" si="13"/>
        <v>1.9999999999999966E-2</v>
      </c>
    </row>
    <row r="750" spans="2:7" x14ac:dyDescent="0.2">
      <c r="B750" s="10">
        <v>700</v>
      </c>
      <c r="C750" s="9">
        <v>119.46798672983599</v>
      </c>
      <c r="D750" s="9">
        <v>100</v>
      </c>
      <c r="E750" s="9">
        <v>6.1207489211790325</v>
      </c>
      <c r="F750" s="9">
        <v>13.347237808656953</v>
      </c>
      <c r="G750">
        <f t="shared" si="13"/>
        <v>1.9999999999999966E-2</v>
      </c>
    </row>
    <row r="751" spans="2:7" x14ac:dyDescent="0.2">
      <c r="B751" s="10">
        <v>701</v>
      </c>
      <c r="C751" s="9">
        <v>107.66670302660673</v>
      </c>
      <c r="D751" s="9">
        <v>100</v>
      </c>
      <c r="E751" s="9">
        <v>1.9902996250487923</v>
      </c>
      <c r="F751" s="9">
        <v>5.6764034015579332</v>
      </c>
      <c r="G751">
        <f t="shared" si="13"/>
        <v>1.9999999999999966E-2</v>
      </c>
    </row>
    <row r="752" spans="2:7" x14ac:dyDescent="0.2">
      <c r="B752" s="10">
        <v>702</v>
      </c>
      <c r="C752" s="9">
        <v>144.39463712362078</v>
      </c>
      <c r="D752" s="9">
        <v>100</v>
      </c>
      <c r="E752" s="9">
        <v>14.845076559003711</v>
      </c>
      <c r="F752" s="9">
        <v>29.549560564617071</v>
      </c>
      <c r="G752">
        <f t="shared" si="13"/>
        <v>1.9999999999999966E-2</v>
      </c>
    </row>
    <row r="753" spans="2:7" x14ac:dyDescent="0.2">
      <c r="B753" s="10">
        <v>703</v>
      </c>
      <c r="C753" s="9">
        <v>93.945376854549664</v>
      </c>
      <c r="D753" s="9">
        <v>75.156301483639737</v>
      </c>
      <c r="E753" s="9">
        <v>0</v>
      </c>
      <c r="F753" s="9">
        <v>0</v>
      </c>
      <c r="G753">
        <f t="shared" si="13"/>
        <v>-0.26560022122678917</v>
      </c>
    </row>
    <row r="754" spans="2:7" x14ac:dyDescent="0.2">
      <c r="B754" s="10">
        <v>704</v>
      </c>
      <c r="C754" s="9">
        <v>84.410656200177954</v>
      </c>
      <c r="D754" s="9">
        <v>67.528524960142363</v>
      </c>
      <c r="E754" s="9">
        <v>0</v>
      </c>
      <c r="F754" s="9">
        <v>0</v>
      </c>
      <c r="G754">
        <f t="shared" si="13"/>
        <v>-0.37262008537435032</v>
      </c>
    </row>
    <row r="755" spans="2:7" x14ac:dyDescent="0.2">
      <c r="B755" s="10">
        <v>705</v>
      </c>
      <c r="C755" s="9">
        <v>154.27207073085742</v>
      </c>
      <c r="D755" s="9">
        <v>100</v>
      </c>
      <c r="E755" s="9">
        <v>18.302178321536534</v>
      </c>
      <c r="F755" s="9">
        <v>35.969892409320892</v>
      </c>
      <c r="G755">
        <f t="shared" ref="G755:G818" si="14">LN(D755/$C$7)</f>
        <v>1.9999999999999966E-2</v>
      </c>
    </row>
    <row r="756" spans="2:7" x14ac:dyDescent="0.2">
      <c r="B756" s="10">
        <v>706</v>
      </c>
      <c r="C756" s="9">
        <v>155.53751210056802</v>
      </c>
      <c r="D756" s="9">
        <v>100</v>
      </c>
      <c r="E756" s="9">
        <v>18.745082800935243</v>
      </c>
      <c r="F756" s="9">
        <v>36.792429299632779</v>
      </c>
      <c r="G756">
        <f t="shared" si="14"/>
        <v>1.9999999999999966E-2</v>
      </c>
    </row>
    <row r="757" spans="2:7" x14ac:dyDescent="0.2">
      <c r="B757" s="10">
        <v>707</v>
      </c>
      <c r="C757" s="9">
        <v>94.735525131877935</v>
      </c>
      <c r="D757" s="9">
        <v>75.788420105502354</v>
      </c>
      <c r="E757" s="9">
        <v>0</v>
      </c>
      <c r="F757" s="9">
        <v>0</v>
      </c>
      <c r="G757">
        <f t="shared" si="14"/>
        <v>-0.25722467406684352</v>
      </c>
    </row>
    <row r="758" spans="2:7" x14ac:dyDescent="0.2">
      <c r="B758" s="10">
        <v>708</v>
      </c>
      <c r="C758" s="9">
        <v>119.51323547091741</v>
      </c>
      <c r="D758" s="9">
        <v>100</v>
      </c>
      <c r="E758" s="9">
        <v>6.1365859805575305</v>
      </c>
      <c r="F758" s="9">
        <v>13.376649490359878</v>
      </c>
      <c r="G758">
        <f t="shared" si="14"/>
        <v>1.9999999999999966E-2</v>
      </c>
    </row>
    <row r="759" spans="2:7" x14ac:dyDescent="0.2">
      <c r="B759" s="10">
        <v>709</v>
      </c>
      <c r="C759" s="9">
        <v>157.75542056188124</v>
      </c>
      <c r="D759" s="9">
        <v>100</v>
      </c>
      <c r="E759" s="9">
        <v>19.521350762394871</v>
      </c>
      <c r="F759" s="9">
        <v>38.234069799486363</v>
      </c>
      <c r="G759">
        <f t="shared" si="14"/>
        <v>1.9999999999999966E-2</v>
      </c>
    </row>
    <row r="760" spans="2:7" x14ac:dyDescent="0.2">
      <c r="B760" s="10">
        <v>710</v>
      </c>
      <c r="C760" s="9">
        <v>182.72492616293698</v>
      </c>
      <c r="D760" s="9">
        <v>100</v>
      </c>
      <c r="E760" s="9">
        <v>28.260677722764381</v>
      </c>
      <c r="F760" s="9">
        <v>54.464248440172597</v>
      </c>
      <c r="G760">
        <f t="shared" si="14"/>
        <v>1.9999999999999966E-2</v>
      </c>
    </row>
    <row r="761" spans="2:7" x14ac:dyDescent="0.2">
      <c r="B761" s="10">
        <v>711</v>
      </c>
      <c r="C761" s="9">
        <v>104.30122480915797</v>
      </c>
      <c r="D761" s="9">
        <v>100</v>
      </c>
      <c r="E761" s="9">
        <v>0.8123822489417285</v>
      </c>
      <c r="F761" s="9">
        <v>3.4888425602162436</v>
      </c>
      <c r="G761">
        <f t="shared" si="14"/>
        <v>1.9999999999999966E-2</v>
      </c>
    </row>
    <row r="762" spans="2:7" x14ac:dyDescent="0.2">
      <c r="B762" s="10">
        <v>712</v>
      </c>
      <c r="C762" s="9">
        <v>107.33633785832495</v>
      </c>
      <c r="D762" s="9">
        <v>100</v>
      </c>
      <c r="E762" s="9">
        <v>1.8746718161501716</v>
      </c>
      <c r="F762" s="9">
        <v>5.4616660421747811</v>
      </c>
      <c r="G762">
        <f t="shared" si="14"/>
        <v>1.9999999999999966E-2</v>
      </c>
    </row>
    <row r="763" spans="2:7" x14ac:dyDescent="0.2">
      <c r="B763" s="10">
        <v>713</v>
      </c>
      <c r="C763" s="9">
        <v>83.07047624322847</v>
      </c>
      <c r="D763" s="9">
        <v>66.456380994582773</v>
      </c>
      <c r="E763" s="9">
        <v>0</v>
      </c>
      <c r="F763" s="9">
        <v>0</v>
      </c>
      <c r="G763">
        <f t="shared" si="14"/>
        <v>-0.38862437843262221</v>
      </c>
    </row>
    <row r="764" spans="2:7" x14ac:dyDescent="0.2">
      <c r="B764" s="10">
        <v>714</v>
      </c>
      <c r="C764" s="9">
        <v>99.263702582400924</v>
      </c>
      <c r="D764" s="9">
        <v>79.410962065920742</v>
      </c>
      <c r="E764" s="9">
        <v>0</v>
      </c>
      <c r="F764" s="9">
        <v>0</v>
      </c>
      <c r="G764">
        <f t="shared" si="14"/>
        <v>-0.21053376598094672</v>
      </c>
    </row>
    <row r="765" spans="2:7" x14ac:dyDescent="0.2">
      <c r="B765" s="10">
        <v>715</v>
      </c>
      <c r="C765" s="9">
        <v>109.16214632794052</v>
      </c>
      <c r="D765" s="9">
        <v>100</v>
      </c>
      <c r="E765" s="9">
        <v>2.5137047805156199</v>
      </c>
      <c r="F765" s="9">
        <v>6.6484415474248992</v>
      </c>
      <c r="G765">
        <f t="shared" si="14"/>
        <v>1.9999999999999966E-2</v>
      </c>
    </row>
    <row r="766" spans="2:7" x14ac:dyDescent="0.2">
      <c r="B766" s="10">
        <v>716</v>
      </c>
      <c r="C766" s="9">
        <v>142.17247931488615</v>
      </c>
      <c r="D766" s="9">
        <v>100</v>
      </c>
      <c r="E766" s="9">
        <v>14.067321325946589</v>
      </c>
      <c r="F766" s="9">
        <v>28.10515798893956</v>
      </c>
      <c r="G766">
        <f t="shared" si="14"/>
        <v>1.9999999999999966E-2</v>
      </c>
    </row>
    <row r="767" spans="2:7" x14ac:dyDescent="0.2">
      <c r="B767" s="10">
        <v>717</v>
      </c>
      <c r="C767" s="9">
        <v>110.23378895644397</v>
      </c>
      <c r="D767" s="9">
        <v>100</v>
      </c>
      <c r="E767" s="9">
        <v>2.888779700491829</v>
      </c>
      <c r="F767" s="9">
        <v>7.345009255952144</v>
      </c>
      <c r="G767">
        <f t="shared" si="14"/>
        <v>1.9999999999999966E-2</v>
      </c>
    </row>
    <row r="768" spans="2:7" x14ac:dyDescent="0.2">
      <c r="B768" s="10">
        <v>718</v>
      </c>
      <c r="C768" s="9">
        <v>147.73281435943858</v>
      </c>
      <c r="D768" s="9">
        <v>100</v>
      </c>
      <c r="E768" s="9">
        <v>16.013438591539941</v>
      </c>
      <c r="F768" s="9">
        <v>31.719375767898637</v>
      </c>
      <c r="G768">
        <f t="shared" si="14"/>
        <v>1.9999999999999966E-2</v>
      </c>
    </row>
    <row r="769" spans="2:7" x14ac:dyDescent="0.2">
      <c r="B769" s="10">
        <v>719</v>
      </c>
      <c r="C769" s="9">
        <v>100.28468188836024</v>
      </c>
      <c r="D769" s="9">
        <v>100</v>
      </c>
      <c r="E769" s="9">
        <v>-0.59340777333747774</v>
      </c>
      <c r="F769" s="9">
        <v>0.87808966169771729</v>
      </c>
      <c r="G769">
        <f t="shared" si="14"/>
        <v>1.9999999999999966E-2</v>
      </c>
    </row>
    <row r="770" spans="2:7" x14ac:dyDescent="0.2">
      <c r="B770" s="10">
        <v>720</v>
      </c>
      <c r="C770" s="9">
        <v>148.93924994443466</v>
      </c>
      <c r="D770" s="9">
        <v>100</v>
      </c>
      <c r="E770" s="9">
        <v>16.435691046288571</v>
      </c>
      <c r="F770" s="9">
        <v>32.503558898146096</v>
      </c>
      <c r="G770">
        <f t="shared" si="14"/>
        <v>1.9999999999999966E-2</v>
      </c>
    </row>
    <row r="771" spans="2:7" x14ac:dyDescent="0.2">
      <c r="B771" s="10">
        <v>721</v>
      </c>
      <c r="C771" s="9">
        <v>100.04270530881394</v>
      </c>
      <c r="D771" s="9">
        <v>100</v>
      </c>
      <c r="E771" s="9">
        <v>-0.67809957617868399</v>
      </c>
      <c r="F771" s="9">
        <v>0.72080488499261997</v>
      </c>
      <c r="G771">
        <f t="shared" si="14"/>
        <v>1.9999999999999966E-2</v>
      </c>
    </row>
    <row r="772" spans="2:7" x14ac:dyDescent="0.2">
      <c r="B772" s="10">
        <v>722</v>
      </c>
      <c r="C772" s="9">
        <v>145.02892696748231</v>
      </c>
      <c r="D772" s="9">
        <v>100</v>
      </c>
      <c r="E772" s="9">
        <v>15.067078004355244</v>
      </c>
      <c r="F772" s="9">
        <v>29.961848963127061</v>
      </c>
      <c r="G772">
        <f t="shared" si="14"/>
        <v>1.9999999999999966E-2</v>
      </c>
    </row>
    <row r="773" spans="2:7" x14ac:dyDescent="0.2">
      <c r="B773" s="10">
        <v>723</v>
      </c>
      <c r="C773" s="9">
        <v>94.806027613699356</v>
      </c>
      <c r="D773" s="9">
        <v>75.844822090959482</v>
      </c>
      <c r="E773" s="9">
        <v>0</v>
      </c>
      <c r="F773" s="9">
        <v>0</v>
      </c>
      <c r="G773">
        <f t="shared" si="14"/>
        <v>-0.25648074763961265</v>
      </c>
    </row>
    <row r="774" spans="2:7" x14ac:dyDescent="0.2">
      <c r="B774" s="10">
        <v>724</v>
      </c>
      <c r="C774" s="9">
        <v>103.43400889116951</v>
      </c>
      <c r="D774" s="9">
        <v>100</v>
      </c>
      <c r="E774" s="9">
        <v>0.50885667764576747</v>
      </c>
      <c r="F774" s="9">
        <v>2.9251522135237442</v>
      </c>
      <c r="G774">
        <f t="shared" si="14"/>
        <v>1.9999999999999966E-2</v>
      </c>
    </row>
    <row r="775" spans="2:7" x14ac:dyDescent="0.2">
      <c r="B775" s="10">
        <v>725</v>
      </c>
      <c r="C775" s="9">
        <v>134.78632936068664</v>
      </c>
      <c r="D775" s="9">
        <v>100</v>
      </c>
      <c r="E775" s="9">
        <v>11.48216884197676</v>
      </c>
      <c r="F775" s="9">
        <v>23.304160518709878</v>
      </c>
      <c r="G775">
        <f t="shared" si="14"/>
        <v>1.9999999999999966E-2</v>
      </c>
    </row>
    <row r="776" spans="2:7" x14ac:dyDescent="0.2">
      <c r="B776" s="10">
        <v>726</v>
      </c>
      <c r="C776" s="9">
        <v>96.818384625927891</v>
      </c>
      <c r="D776" s="9">
        <v>77.454707700742318</v>
      </c>
      <c r="E776" s="9">
        <v>0</v>
      </c>
      <c r="F776" s="9">
        <v>0</v>
      </c>
      <c r="G776">
        <f t="shared" si="14"/>
        <v>-0.23547683723144638</v>
      </c>
    </row>
    <row r="777" spans="2:7" x14ac:dyDescent="0.2">
      <c r="B777" s="10">
        <v>727</v>
      </c>
      <c r="C777" s="9">
        <v>85.844504629981557</v>
      </c>
      <c r="D777" s="9">
        <v>68.675603703985246</v>
      </c>
      <c r="E777" s="9">
        <v>0</v>
      </c>
      <c r="F777" s="9">
        <v>0</v>
      </c>
      <c r="G777">
        <f t="shared" si="14"/>
        <v>-0.35577616330661904</v>
      </c>
    </row>
    <row r="778" spans="2:7" x14ac:dyDescent="0.2">
      <c r="B778" s="10">
        <v>728</v>
      </c>
      <c r="C778" s="9">
        <v>179.36431754913821</v>
      </c>
      <c r="D778" s="9">
        <v>100</v>
      </c>
      <c r="E778" s="9">
        <v>27.08446470793481</v>
      </c>
      <c r="F778" s="9">
        <v>52.279852841203393</v>
      </c>
      <c r="G778">
        <f t="shared" si="14"/>
        <v>1.9999999999999966E-2</v>
      </c>
    </row>
    <row r="779" spans="2:7" x14ac:dyDescent="0.2">
      <c r="B779" s="10">
        <v>729</v>
      </c>
      <c r="C779" s="9">
        <v>125.81032057423336</v>
      </c>
      <c r="D779" s="9">
        <v>100</v>
      </c>
      <c r="E779" s="9">
        <v>8.3405657667181128</v>
      </c>
      <c r="F779" s="9">
        <v>17.469754807515244</v>
      </c>
      <c r="G779">
        <f t="shared" si="14"/>
        <v>1.9999999999999966E-2</v>
      </c>
    </row>
    <row r="780" spans="2:7" x14ac:dyDescent="0.2">
      <c r="B780" s="10">
        <v>730</v>
      </c>
      <c r="C780" s="9">
        <v>95.525330316800307</v>
      </c>
      <c r="D780" s="9">
        <v>76.420264253440251</v>
      </c>
      <c r="E780" s="9">
        <v>0</v>
      </c>
      <c r="F780" s="9">
        <v>0</v>
      </c>
      <c r="G780">
        <f t="shared" si="14"/>
        <v>-0.24892228606586503</v>
      </c>
    </row>
    <row r="781" spans="2:7" x14ac:dyDescent="0.2">
      <c r="B781" s="10">
        <v>731</v>
      </c>
      <c r="C781" s="9">
        <v>100.43323090789539</v>
      </c>
      <c r="D781" s="9">
        <v>100</v>
      </c>
      <c r="E781" s="9">
        <v>-0.54141561650017422</v>
      </c>
      <c r="F781" s="9">
        <v>0.97464652439556687</v>
      </c>
      <c r="G781">
        <f t="shared" si="14"/>
        <v>1.9999999999999966E-2</v>
      </c>
    </row>
    <row r="782" spans="2:7" x14ac:dyDescent="0.2">
      <c r="B782" s="10">
        <v>732</v>
      </c>
      <c r="C782" s="9">
        <v>134.39138780757054</v>
      </c>
      <c r="D782" s="9">
        <v>100</v>
      </c>
      <c r="E782" s="9">
        <v>11.343939298386125</v>
      </c>
      <c r="F782" s="9">
        <v>23.047448509184413</v>
      </c>
      <c r="G782">
        <f t="shared" si="14"/>
        <v>1.9999999999999966E-2</v>
      </c>
    </row>
    <row r="783" spans="2:7" x14ac:dyDescent="0.2">
      <c r="B783" s="10">
        <v>733</v>
      </c>
      <c r="C783" s="9">
        <v>105.91883778618588</v>
      </c>
      <c r="D783" s="9">
        <v>100</v>
      </c>
      <c r="E783" s="9">
        <v>1.3785467909014946</v>
      </c>
      <c r="F783" s="9">
        <v>4.5402909952843808</v>
      </c>
      <c r="G783">
        <f t="shared" si="14"/>
        <v>1.9999999999999966E-2</v>
      </c>
    </row>
    <row r="784" spans="2:7" x14ac:dyDescent="0.2">
      <c r="B784" s="10">
        <v>734</v>
      </c>
      <c r="C784" s="9">
        <v>148.67030577324454</v>
      </c>
      <c r="D784" s="9">
        <v>100</v>
      </c>
      <c r="E784" s="9">
        <v>16.341560586372026</v>
      </c>
      <c r="F784" s="9">
        <v>32.32874518687251</v>
      </c>
      <c r="G784">
        <f t="shared" si="14"/>
        <v>1.9999999999999966E-2</v>
      </c>
    </row>
    <row r="785" spans="2:7" x14ac:dyDescent="0.2">
      <c r="B785" s="10">
        <v>735</v>
      </c>
      <c r="C785" s="9">
        <v>85.285751254203973</v>
      </c>
      <c r="D785" s="9">
        <v>68.228601003363181</v>
      </c>
      <c r="E785" s="9">
        <v>0</v>
      </c>
      <c r="F785" s="9">
        <v>0</v>
      </c>
      <c r="G785">
        <f t="shared" si="14"/>
        <v>-0.36230633949872809</v>
      </c>
    </row>
    <row r="786" spans="2:7" x14ac:dyDescent="0.2">
      <c r="B786" s="10">
        <v>736</v>
      </c>
      <c r="C786" s="9">
        <v>127.81540822957763</v>
      </c>
      <c r="D786" s="9">
        <v>100</v>
      </c>
      <c r="E786" s="9">
        <v>9.042346446088608</v>
      </c>
      <c r="F786" s="9">
        <v>18.77306178348902</v>
      </c>
      <c r="G786">
        <f t="shared" si="14"/>
        <v>1.9999999999999966E-2</v>
      </c>
    </row>
    <row r="787" spans="2:7" x14ac:dyDescent="0.2">
      <c r="B787" s="10">
        <v>737</v>
      </c>
      <c r="C787" s="9">
        <v>110.90931580311354</v>
      </c>
      <c r="D787" s="9">
        <v>100</v>
      </c>
      <c r="E787" s="9">
        <v>3.1252140968261783</v>
      </c>
      <c r="F787" s="9">
        <v>7.7841017062873643</v>
      </c>
      <c r="G787">
        <f t="shared" si="14"/>
        <v>1.9999999999999966E-2</v>
      </c>
    </row>
    <row r="788" spans="2:7" x14ac:dyDescent="0.2">
      <c r="B788" s="10">
        <v>738</v>
      </c>
      <c r="C788" s="9">
        <v>100.24062915070186</v>
      </c>
      <c r="D788" s="9">
        <v>100</v>
      </c>
      <c r="E788" s="9">
        <v>-0.60882623151790938</v>
      </c>
      <c r="F788" s="9">
        <v>0.84945538221977301</v>
      </c>
      <c r="G788">
        <f t="shared" si="14"/>
        <v>1.9999999999999966E-2</v>
      </c>
    </row>
    <row r="789" spans="2:7" x14ac:dyDescent="0.2">
      <c r="B789" s="10">
        <v>739</v>
      </c>
      <c r="C789" s="9">
        <v>85.320725596820125</v>
      </c>
      <c r="D789" s="9">
        <v>68.256580477456097</v>
      </c>
      <c r="E789" s="9">
        <v>0</v>
      </c>
      <c r="F789" s="9">
        <v>0</v>
      </c>
      <c r="G789">
        <f t="shared" si="14"/>
        <v>-0.36189633931876281</v>
      </c>
    </row>
    <row r="790" spans="2:7" x14ac:dyDescent="0.2">
      <c r="B790" s="10">
        <v>740</v>
      </c>
      <c r="C790" s="9">
        <v>123.74838353543636</v>
      </c>
      <c r="D790" s="9">
        <v>100</v>
      </c>
      <c r="E790" s="9">
        <v>7.618887803139164</v>
      </c>
      <c r="F790" s="9">
        <v>16.129495732297197</v>
      </c>
      <c r="G790">
        <f t="shared" si="14"/>
        <v>1.9999999999999966E-2</v>
      </c>
    </row>
    <row r="791" spans="2:7" x14ac:dyDescent="0.2">
      <c r="B791" s="10">
        <v>741</v>
      </c>
      <c r="C791" s="9">
        <v>140.24517841313926</v>
      </c>
      <c r="D791" s="9">
        <v>100</v>
      </c>
      <c r="E791" s="9">
        <v>13.392766010335178</v>
      </c>
      <c r="F791" s="9">
        <v>26.852412402804077</v>
      </c>
      <c r="G791">
        <f t="shared" si="14"/>
        <v>1.9999999999999966E-2</v>
      </c>
    </row>
    <row r="792" spans="2:7" x14ac:dyDescent="0.2">
      <c r="B792" s="10">
        <v>742</v>
      </c>
      <c r="C792" s="9">
        <v>118.89359398986869</v>
      </c>
      <c r="D792" s="9">
        <v>100</v>
      </c>
      <c r="E792" s="9">
        <v>5.9197114621904801</v>
      </c>
      <c r="F792" s="9">
        <v>12.97388252767821</v>
      </c>
      <c r="G792">
        <f t="shared" si="14"/>
        <v>1.9999999999999966E-2</v>
      </c>
    </row>
    <row r="793" spans="2:7" x14ac:dyDescent="0.2">
      <c r="B793" s="10">
        <v>743</v>
      </c>
      <c r="C793" s="9">
        <v>124.54459140588341</v>
      </c>
      <c r="D793" s="9">
        <v>100</v>
      </c>
      <c r="E793" s="9">
        <v>7.8975605577956314</v>
      </c>
      <c r="F793" s="9">
        <v>16.647030848087777</v>
      </c>
      <c r="G793">
        <f t="shared" si="14"/>
        <v>1.9999999999999966E-2</v>
      </c>
    </row>
    <row r="794" spans="2:7" x14ac:dyDescent="0.2">
      <c r="B794" s="10">
        <v>744</v>
      </c>
      <c r="C794" s="9">
        <v>102.20582172482867</v>
      </c>
      <c r="D794" s="9">
        <v>100</v>
      </c>
      <c r="E794" s="9">
        <v>7.8991169426471677E-2</v>
      </c>
      <c r="F794" s="9">
        <v>2.1268305554021949</v>
      </c>
      <c r="G794">
        <f t="shared" si="14"/>
        <v>1.9999999999999966E-2</v>
      </c>
    </row>
    <row r="795" spans="2:7" x14ac:dyDescent="0.2">
      <c r="B795" s="10">
        <v>745</v>
      </c>
      <c r="C795" s="9">
        <v>112.68565716658479</v>
      </c>
      <c r="D795" s="9">
        <v>100</v>
      </c>
      <c r="E795" s="9">
        <v>3.7469335740411145</v>
      </c>
      <c r="F795" s="9">
        <v>8.9387235925436741</v>
      </c>
      <c r="G795">
        <f t="shared" si="14"/>
        <v>1.9999999999999966E-2</v>
      </c>
    </row>
    <row r="796" spans="2:7" x14ac:dyDescent="0.2">
      <c r="B796" s="10">
        <v>746</v>
      </c>
      <c r="C796" s="9">
        <v>138.22310920394744</v>
      </c>
      <c r="D796" s="9">
        <v>100</v>
      </c>
      <c r="E796" s="9">
        <v>12.685041787118044</v>
      </c>
      <c r="F796" s="9">
        <v>25.538067416829399</v>
      </c>
      <c r="G796">
        <f t="shared" si="14"/>
        <v>1.9999999999999966E-2</v>
      </c>
    </row>
    <row r="797" spans="2:7" x14ac:dyDescent="0.2">
      <c r="B797" s="10">
        <v>747</v>
      </c>
      <c r="C797" s="9">
        <v>154.72249602370201</v>
      </c>
      <c r="D797" s="9">
        <v>100</v>
      </c>
      <c r="E797" s="9">
        <v>18.459827174032139</v>
      </c>
      <c r="F797" s="9">
        <v>36.262668849669865</v>
      </c>
      <c r="G797">
        <f t="shared" si="14"/>
        <v>1.9999999999999966E-2</v>
      </c>
    </row>
    <row r="798" spans="2:7" x14ac:dyDescent="0.2">
      <c r="B798" s="10">
        <v>748</v>
      </c>
      <c r="C798" s="9">
        <v>111.80323789834668</v>
      </c>
      <c r="D798" s="9">
        <v>100</v>
      </c>
      <c r="E798" s="9">
        <v>3.4380868301577761</v>
      </c>
      <c r="F798" s="9">
        <v>8.3651510681889043</v>
      </c>
      <c r="G798">
        <f t="shared" si="14"/>
        <v>1.9999999999999966E-2</v>
      </c>
    </row>
    <row r="799" spans="2:7" x14ac:dyDescent="0.2">
      <c r="B799" s="10">
        <v>749</v>
      </c>
      <c r="C799" s="9">
        <v>110.80439725489457</v>
      </c>
      <c r="D799" s="9">
        <v>100</v>
      </c>
      <c r="E799" s="9">
        <v>3.0884926049495367</v>
      </c>
      <c r="F799" s="9">
        <v>7.7159046499450312</v>
      </c>
      <c r="G799">
        <f t="shared" si="14"/>
        <v>1.9999999999999966E-2</v>
      </c>
    </row>
    <row r="800" spans="2:7" x14ac:dyDescent="0.2">
      <c r="B800" s="10">
        <v>750</v>
      </c>
      <c r="C800" s="9">
        <v>104.22896913869914</v>
      </c>
      <c r="D800" s="9">
        <v>100</v>
      </c>
      <c r="E800" s="9">
        <v>0.78709276428113806</v>
      </c>
      <c r="F800" s="9">
        <v>3.4418763744180039</v>
      </c>
      <c r="G800">
        <f t="shared" si="14"/>
        <v>1.9999999999999966E-2</v>
      </c>
    </row>
    <row r="801" spans="2:7" x14ac:dyDescent="0.2">
      <c r="B801" s="10">
        <v>751</v>
      </c>
      <c r="C801" s="9">
        <v>138.80070184428575</v>
      </c>
      <c r="D801" s="9">
        <v>100</v>
      </c>
      <c r="E801" s="9">
        <v>12.887199211236451</v>
      </c>
      <c r="F801" s="9">
        <v>25.913502633049305</v>
      </c>
      <c r="G801">
        <f t="shared" si="14"/>
        <v>1.9999999999999966E-2</v>
      </c>
    </row>
    <row r="802" spans="2:7" x14ac:dyDescent="0.2">
      <c r="B802" s="10">
        <v>752</v>
      </c>
      <c r="C802" s="9">
        <v>123.05099628953337</v>
      </c>
      <c r="D802" s="9">
        <v>100</v>
      </c>
      <c r="E802" s="9">
        <v>7.3748022670731181</v>
      </c>
      <c r="F802" s="9">
        <v>15.676194022460255</v>
      </c>
      <c r="G802">
        <f t="shared" si="14"/>
        <v>1.9999999999999966E-2</v>
      </c>
    </row>
    <row r="803" spans="2:7" x14ac:dyDescent="0.2">
      <c r="B803" s="10">
        <v>753</v>
      </c>
      <c r="C803" s="9">
        <v>93.426862501047552</v>
      </c>
      <c r="D803" s="9">
        <v>74.741490000838041</v>
      </c>
      <c r="E803" s="9">
        <v>0</v>
      </c>
      <c r="F803" s="9">
        <v>0</v>
      </c>
      <c r="G803">
        <f t="shared" si="14"/>
        <v>-0.27113482634089453</v>
      </c>
    </row>
    <row r="804" spans="2:7" x14ac:dyDescent="0.2">
      <c r="B804" s="10">
        <v>754</v>
      </c>
      <c r="C804" s="9">
        <v>90.634528364498848</v>
      </c>
      <c r="D804" s="9">
        <v>72.507622691599082</v>
      </c>
      <c r="E804" s="9">
        <v>0</v>
      </c>
      <c r="F804" s="9">
        <v>0</v>
      </c>
      <c r="G804">
        <f t="shared" si="14"/>
        <v>-0.30147848908056468</v>
      </c>
    </row>
    <row r="805" spans="2:7" x14ac:dyDescent="0.2">
      <c r="B805" s="10">
        <v>755</v>
      </c>
      <c r="C805" s="9">
        <v>206.58429746926123</v>
      </c>
      <c r="D805" s="9">
        <v>100</v>
      </c>
      <c r="E805" s="9">
        <v>36.611457679977867</v>
      </c>
      <c r="F805" s="9">
        <v>69.97283978928337</v>
      </c>
      <c r="G805">
        <f t="shared" si="14"/>
        <v>1.9999999999999966E-2</v>
      </c>
    </row>
    <row r="806" spans="2:7" x14ac:dyDescent="0.2">
      <c r="B806" s="10">
        <v>756</v>
      </c>
      <c r="C806" s="9">
        <v>84.400089613144502</v>
      </c>
      <c r="D806" s="9">
        <v>67.520071690515607</v>
      </c>
      <c r="E806" s="9">
        <v>0</v>
      </c>
      <c r="F806" s="9">
        <v>0</v>
      </c>
      <c r="G806">
        <f t="shared" si="14"/>
        <v>-0.37274527393383838</v>
      </c>
    </row>
    <row r="807" spans="2:7" x14ac:dyDescent="0.2">
      <c r="B807" s="10">
        <v>757</v>
      </c>
      <c r="C807" s="9">
        <v>95.962158976218348</v>
      </c>
      <c r="D807" s="9">
        <v>76.769727180974684</v>
      </c>
      <c r="E807" s="9">
        <v>0</v>
      </c>
      <c r="F807" s="9">
        <v>0</v>
      </c>
      <c r="G807">
        <f t="shared" si="14"/>
        <v>-0.24435980087382916</v>
      </c>
    </row>
    <row r="808" spans="2:7" x14ac:dyDescent="0.2">
      <c r="B808" s="10">
        <v>758</v>
      </c>
      <c r="C808" s="9">
        <v>133.59009785624536</v>
      </c>
      <c r="D808" s="9">
        <v>100</v>
      </c>
      <c r="E808" s="9">
        <v>11.063487815422315</v>
      </c>
      <c r="F808" s="9">
        <v>22.526610040823051</v>
      </c>
      <c r="G808">
        <f t="shared" si="14"/>
        <v>1.9999999999999966E-2</v>
      </c>
    </row>
    <row r="809" spans="2:7" x14ac:dyDescent="0.2">
      <c r="B809" s="10">
        <v>759</v>
      </c>
      <c r="C809" s="9">
        <v>120.14650496755416</v>
      </c>
      <c r="D809" s="9">
        <v>100</v>
      </c>
      <c r="E809" s="9">
        <v>6.3582303043803954</v>
      </c>
      <c r="F809" s="9">
        <v>13.78827466317377</v>
      </c>
      <c r="G809">
        <f t="shared" si="14"/>
        <v>1.9999999999999966E-2</v>
      </c>
    </row>
    <row r="810" spans="2:7" x14ac:dyDescent="0.2">
      <c r="B810" s="10">
        <v>760</v>
      </c>
      <c r="C810" s="9">
        <v>98.319067968180335</v>
      </c>
      <c r="D810" s="9">
        <v>78.65525437454427</v>
      </c>
      <c r="E810" s="9">
        <v>0</v>
      </c>
      <c r="F810" s="9">
        <v>0</v>
      </c>
      <c r="G810">
        <f t="shared" si="14"/>
        <v>-0.22009575166451087</v>
      </c>
    </row>
    <row r="811" spans="2:7" x14ac:dyDescent="0.2">
      <c r="B811" s="10">
        <v>761</v>
      </c>
      <c r="C811" s="9">
        <v>91.814648263207005</v>
      </c>
      <c r="D811" s="9">
        <v>73.451718610565607</v>
      </c>
      <c r="E811" s="9">
        <v>0</v>
      </c>
      <c r="F811" s="9">
        <v>0</v>
      </c>
      <c r="G811">
        <f t="shared" si="14"/>
        <v>-0.28854188526800678</v>
      </c>
    </row>
    <row r="812" spans="2:7" x14ac:dyDescent="0.2">
      <c r="B812" s="10">
        <v>762</v>
      </c>
      <c r="C812" s="9">
        <v>82.249732656132977</v>
      </c>
      <c r="D812" s="9">
        <v>65.799786124906376</v>
      </c>
      <c r="E812" s="9">
        <v>0</v>
      </c>
      <c r="F812" s="9">
        <v>0</v>
      </c>
      <c r="G812">
        <f t="shared" si="14"/>
        <v>-0.39855359804346446</v>
      </c>
    </row>
    <row r="813" spans="2:7" x14ac:dyDescent="0.2">
      <c r="B813" s="10">
        <v>763</v>
      </c>
      <c r="C813" s="9">
        <v>151.95267764064494</v>
      </c>
      <c r="D813" s="9">
        <v>100</v>
      </c>
      <c r="E813" s="9">
        <v>17.490390739962166</v>
      </c>
      <c r="F813" s="9">
        <v>34.46228690068277</v>
      </c>
      <c r="G813">
        <f t="shared" si="14"/>
        <v>1.9999999999999966E-2</v>
      </c>
    </row>
    <row r="814" spans="2:7" x14ac:dyDescent="0.2">
      <c r="B814" s="10">
        <v>764</v>
      </c>
      <c r="C814" s="9">
        <v>177.14258775069155</v>
      </c>
      <c r="D814" s="9">
        <v>100</v>
      </c>
      <c r="E814" s="9">
        <v>26.306859278478477</v>
      </c>
      <c r="F814" s="9">
        <v>50.83572847221307</v>
      </c>
      <c r="G814">
        <f t="shared" si="14"/>
        <v>1.9999999999999966E-2</v>
      </c>
    </row>
    <row r="815" spans="2:7" x14ac:dyDescent="0.2">
      <c r="B815" s="10">
        <v>765</v>
      </c>
      <c r="C815" s="9">
        <v>113.46495380842308</v>
      </c>
      <c r="D815" s="9">
        <v>100</v>
      </c>
      <c r="E815" s="9">
        <v>4.019687398684515</v>
      </c>
      <c r="F815" s="9">
        <v>9.4452664097385615</v>
      </c>
      <c r="G815">
        <f t="shared" si="14"/>
        <v>1.9999999999999966E-2</v>
      </c>
    </row>
    <row r="816" spans="2:7" x14ac:dyDescent="0.2">
      <c r="B816" s="10">
        <v>766</v>
      </c>
      <c r="C816" s="9">
        <v>122.98364099897381</v>
      </c>
      <c r="D816" s="9">
        <v>100</v>
      </c>
      <c r="E816" s="9">
        <v>7.3512279153772715</v>
      </c>
      <c r="F816" s="9">
        <v>15.632413083596539</v>
      </c>
      <c r="G816">
        <f t="shared" si="14"/>
        <v>1.9999999999999966E-2</v>
      </c>
    </row>
    <row r="817" spans="2:7" x14ac:dyDescent="0.2">
      <c r="B817" s="10">
        <v>767</v>
      </c>
      <c r="C817" s="9">
        <v>99.700430882623081</v>
      </c>
      <c r="D817" s="9">
        <v>79.760344706098465</v>
      </c>
      <c r="E817" s="9">
        <v>0</v>
      </c>
      <c r="F817" s="9">
        <v>0</v>
      </c>
      <c r="G817">
        <f t="shared" si="14"/>
        <v>-0.20614373855224188</v>
      </c>
    </row>
    <row r="818" spans="2:7" x14ac:dyDescent="0.2">
      <c r="B818" s="10">
        <v>768</v>
      </c>
      <c r="C818" s="9">
        <v>126.70523198814645</v>
      </c>
      <c r="D818" s="9">
        <v>100</v>
      </c>
      <c r="E818" s="9">
        <v>8.6537847615876959</v>
      </c>
      <c r="F818" s="9">
        <v>18.051447226558757</v>
      </c>
      <c r="G818">
        <f t="shared" si="14"/>
        <v>1.9999999999999966E-2</v>
      </c>
    </row>
    <row r="819" spans="2:7" x14ac:dyDescent="0.2">
      <c r="B819" s="10">
        <v>769</v>
      </c>
      <c r="C819" s="9">
        <v>90.678913026515247</v>
      </c>
      <c r="D819" s="9">
        <v>72.543130421212197</v>
      </c>
      <c r="E819" s="9">
        <v>0</v>
      </c>
      <c r="F819" s="9">
        <v>0</v>
      </c>
      <c r="G819">
        <f t="shared" ref="G819:G882" si="15">LN(D819/$C$7)</f>
        <v>-0.30098889865017564</v>
      </c>
    </row>
    <row r="820" spans="2:7" x14ac:dyDescent="0.2">
      <c r="B820" s="10">
        <v>770</v>
      </c>
      <c r="C820" s="9">
        <v>130.74891504448448</v>
      </c>
      <c r="D820" s="9">
        <v>100</v>
      </c>
      <c r="E820" s="9">
        <v>10.069073831306005</v>
      </c>
      <c r="F820" s="9">
        <v>20.67984121317847</v>
      </c>
      <c r="G820">
        <f t="shared" si="15"/>
        <v>1.9999999999999966E-2</v>
      </c>
    </row>
    <row r="821" spans="2:7" x14ac:dyDescent="0.2">
      <c r="B821" s="10">
        <v>771</v>
      </c>
      <c r="C821" s="9">
        <v>119.62411952427459</v>
      </c>
      <c r="D821" s="9">
        <v>100</v>
      </c>
      <c r="E821" s="9">
        <v>6.1753953992325448</v>
      </c>
      <c r="F821" s="9">
        <v>13.448724125042045</v>
      </c>
      <c r="G821">
        <f t="shared" si="15"/>
        <v>1.9999999999999966E-2</v>
      </c>
    </row>
    <row r="822" spans="2:7" x14ac:dyDescent="0.2">
      <c r="B822" s="10">
        <v>772</v>
      </c>
      <c r="C822" s="9">
        <v>93.946447944670183</v>
      </c>
      <c r="D822" s="9">
        <v>75.157158355736144</v>
      </c>
      <c r="E822" s="9">
        <v>0</v>
      </c>
      <c r="F822" s="9">
        <v>0</v>
      </c>
      <c r="G822">
        <f t="shared" si="15"/>
        <v>-0.26558882009082529</v>
      </c>
    </row>
    <row r="823" spans="2:7" x14ac:dyDescent="0.2">
      <c r="B823" s="10">
        <v>773</v>
      </c>
      <c r="C823" s="9">
        <v>135.05893424949539</v>
      </c>
      <c r="D823" s="9">
        <v>100</v>
      </c>
      <c r="E823" s="9">
        <v>11.577580553059825</v>
      </c>
      <c r="F823" s="9">
        <v>23.481353696435569</v>
      </c>
      <c r="G823">
        <f t="shared" si="15"/>
        <v>1.9999999999999966E-2</v>
      </c>
    </row>
    <row r="824" spans="2:7" x14ac:dyDescent="0.2">
      <c r="B824" s="10">
        <v>774</v>
      </c>
      <c r="C824" s="9">
        <v>113.62577448767055</v>
      </c>
      <c r="D824" s="9">
        <v>100</v>
      </c>
      <c r="E824" s="9">
        <v>4.0759746364211322</v>
      </c>
      <c r="F824" s="9">
        <v>9.5497998512494213</v>
      </c>
      <c r="G824">
        <f t="shared" si="15"/>
        <v>1.9999999999999966E-2</v>
      </c>
    </row>
    <row r="825" spans="2:7" x14ac:dyDescent="0.2">
      <c r="B825" s="10">
        <v>775</v>
      </c>
      <c r="C825" s="9">
        <v>120.49245469030674</v>
      </c>
      <c r="D825" s="9">
        <v>100</v>
      </c>
      <c r="E825" s="9">
        <v>6.4793127073437979</v>
      </c>
      <c r="F825" s="9">
        <v>14.013141982962946</v>
      </c>
      <c r="G825">
        <f t="shared" si="15"/>
        <v>1.9999999999999966E-2</v>
      </c>
    </row>
    <row r="826" spans="2:7" x14ac:dyDescent="0.2">
      <c r="B826" s="10">
        <v>776</v>
      </c>
      <c r="C826" s="9">
        <v>99.114375674818092</v>
      </c>
      <c r="D826" s="9">
        <v>79.291500539854468</v>
      </c>
      <c r="E826" s="9">
        <v>0</v>
      </c>
      <c r="F826" s="9">
        <v>0</v>
      </c>
      <c r="G826">
        <f t="shared" si="15"/>
        <v>-0.21203924417791667</v>
      </c>
    </row>
    <row r="827" spans="2:7" x14ac:dyDescent="0.2">
      <c r="B827" s="10">
        <v>777</v>
      </c>
      <c r="C827" s="9">
        <v>156.20166158618446</v>
      </c>
      <c r="D827" s="9">
        <v>100</v>
      </c>
      <c r="E827" s="9">
        <v>18.977535120900995</v>
      </c>
      <c r="F827" s="9">
        <v>37.224126465283462</v>
      </c>
      <c r="G827">
        <f t="shared" si="15"/>
        <v>1.9999999999999966E-2</v>
      </c>
    </row>
    <row r="828" spans="2:7" x14ac:dyDescent="0.2">
      <c r="B828" s="10">
        <v>778</v>
      </c>
      <c r="C828" s="9">
        <v>101.22760528399253</v>
      </c>
      <c r="D828" s="9">
        <v>100</v>
      </c>
      <c r="E828" s="9">
        <v>-0.26338458486617566</v>
      </c>
      <c r="F828" s="9">
        <v>1.4909898688587071</v>
      </c>
      <c r="G828">
        <f t="shared" si="15"/>
        <v>1.9999999999999966E-2</v>
      </c>
    </row>
    <row r="829" spans="2:7" x14ac:dyDescent="0.2">
      <c r="B829" s="10">
        <v>779</v>
      </c>
      <c r="C829" s="9">
        <v>113.77439841537912</v>
      </c>
      <c r="D829" s="9">
        <v>100</v>
      </c>
      <c r="E829" s="9">
        <v>4.1279930111191314</v>
      </c>
      <c r="F829" s="9">
        <v>9.646405404259994</v>
      </c>
      <c r="G829">
        <f t="shared" si="15"/>
        <v>1.9999999999999966E-2</v>
      </c>
    </row>
    <row r="830" spans="2:7" x14ac:dyDescent="0.2">
      <c r="B830" s="10">
        <v>780</v>
      </c>
      <c r="C830" s="9">
        <v>110.45277861518387</v>
      </c>
      <c r="D830" s="9">
        <v>100</v>
      </c>
      <c r="E830" s="9">
        <v>2.965426081050794</v>
      </c>
      <c r="F830" s="9">
        <v>7.4873525341330804</v>
      </c>
      <c r="G830">
        <f t="shared" si="15"/>
        <v>1.9999999999999966E-2</v>
      </c>
    </row>
    <row r="831" spans="2:7" x14ac:dyDescent="0.2">
      <c r="B831" s="10">
        <v>781</v>
      </c>
      <c r="C831" s="9">
        <v>90.722618747762908</v>
      </c>
      <c r="D831" s="9">
        <v>72.578094998210332</v>
      </c>
      <c r="E831" s="9">
        <v>0</v>
      </c>
      <c r="F831" s="9">
        <v>0</v>
      </c>
      <c r="G831">
        <f t="shared" si="15"/>
        <v>-0.30050703147225399</v>
      </c>
    </row>
    <row r="832" spans="2:7" x14ac:dyDescent="0.2">
      <c r="B832" s="10">
        <v>782</v>
      </c>
      <c r="C832" s="9">
        <v>156.4965466981902</v>
      </c>
      <c r="D832" s="9">
        <v>100</v>
      </c>
      <c r="E832" s="9">
        <v>19.080744910103007</v>
      </c>
      <c r="F832" s="9">
        <v>37.415801788087194</v>
      </c>
      <c r="G832">
        <f t="shared" si="15"/>
        <v>1.9999999999999966E-2</v>
      </c>
    </row>
    <row r="833" spans="2:7" x14ac:dyDescent="0.2">
      <c r="B833" s="10">
        <v>783</v>
      </c>
      <c r="C833" s="9">
        <v>178.16930066167222</v>
      </c>
      <c r="D833" s="9">
        <v>100</v>
      </c>
      <c r="E833" s="9">
        <v>26.666208797321715</v>
      </c>
      <c r="F833" s="9">
        <v>51.503091864350509</v>
      </c>
      <c r="G833">
        <f t="shared" si="15"/>
        <v>1.9999999999999966E-2</v>
      </c>
    </row>
    <row r="834" spans="2:7" x14ac:dyDescent="0.2">
      <c r="B834" s="10">
        <v>784</v>
      </c>
      <c r="C834" s="9">
        <v>116.31948120704385</v>
      </c>
      <c r="D834" s="9">
        <v>100</v>
      </c>
      <c r="E834" s="9">
        <v>5.0187719882017854</v>
      </c>
      <c r="F834" s="9">
        <v>11.300709218842066</v>
      </c>
      <c r="G834">
        <f t="shared" si="15"/>
        <v>1.9999999999999966E-2</v>
      </c>
    </row>
    <row r="835" spans="2:7" x14ac:dyDescent="0.2">
      <c r="B835" s="10">
        <v>785</v>
      </c>
      <c r="C835" s="9">
        <v>114.15934667581212</v>
      </c>
      <c r="D835" s="9">
        <v>100</v>
      </c>
      <c r="E835" s="9">
        <v>4.262724902270679</v>
      </c>
      <c r="F835" s="9">
        <v>9.8966217735414368</v>
      </c>
      <c r="G835">
        <f t="shared" si="15"/>
        <v>1.9999999999999966E-2</v>
      </c>
    </row>
    <row r="836" spans="2:7" x14ac:dyDescent="0.2">
      <c r="B836" s="10">
        <v>786</v>
      </c>
      <c r="C836" s="9">
        <v>104.8508780228081</v>
      </c>
      <c r="D836" s="9">
        <v>100</v>
      </c>
      <c r="E836" s="9">
        <v>1.0047608737192746</v>
      </c>
      <c r="F836" s="9">
        <v>3.8461171490888288</v>
      </c>
      <c r="G836">
        <f t="shared" si="15"/>
        <v>1.9999999999999966E-2</v>
      </c>
    </row>
    <row r="837" spans="2:7" x14ac:dyDescent="0.2">
      <c r="B837" s="10">
        <v>787</v>
      </c>
      <c r="C837" s="9">
        <v>153.35066868909161</v>
      </c>
      <c r="D837" s="9">
        <v>100</v>
      </c>
      <c r="E837" s="9">
        <v>17.9796876069185</v>
      </c>
      <c r="F837" s="9">
        <v>35.370981082173103</v>
      </c>
      <c r="G837">
        <f t="shared" si="15"/>
        <v>1.9999999999999966E-2</v>
      </c>
    </row>
    <row r="838" spans="2:7" x14ac:dyDescent="0.2">
      <c r="B838" s="10">
        <v>788</v>
      </c>
      <c r="C838" s="9">
        <v>193.19430172846555</v>
      </c>
      <c r="D838" s="9">
        <v>100</v>
      </c>
      <c r="E838" s="9">
        <v>31.924959170699378</v>
      </c>
      <c r="F838" s="9">
        <v>61.269342557766166</v>
      </c>
      <c r="G838">
        <f t="shared" si="15"/>
        <v>1.9999999999999966E-2</v>
      </c>
    </row>
    <row r="839" spans="2:7" x14ac:dyDescent="0.2">
      <c r="B839" s="10">
        <v>789</v>
      </c>
      <c r="C839" s="9">
        <v>100.92602378700283</v>
      </c>
      <c r="D839" s="9">
        <v>100</v>
      </c>
      <c r="E839" s="9">
        <v>-0.36893810881256994</v>
      </c>
      <c r="F839" s="9">
        <v>1.2949618958154034</v>
      </c>
      <c r="G839">
        <f t="shared" si="15"/>
        <v>1.9999999999999966E-2</v>
      </c>
    </row>
    <row r="840" spans="2:7" x14ac:dyDescent="0.2">
      <c r="B840" s="10">
        <v>790</v>
      </c>
      <c r="C840" s="9">
        <v>77.118269443071782</v>
      </c>
      <c r="D840" s="9">
        <v>61.694615554457428</v>
      </c>
      <c r="E840" s="9">
        <v>0</v>
      </c>
      <c r="F840" s="9">
        <v>0</v>
      </c>
      <c r="G840">
        <f t="shared" si="15"/>
        <v>-0.4629735270459806</v>
      </c>
    </row>
    <row r="841" spans="2:7" x14ac:dyDescent="0.2">
      <c r="B841" s="10">
        <v>791</v>
      </c>
      <c r="C841" s="9">
        <v>58.845039781265321</v>
      </c>
      <c r="D841" s="9">
        <v>47.076031825012258</v>
      </c>
      <c r="E841" s="9">
        <v>0</v>
      </c>
      <c r="F841" s="9">
        <v>0</v>
      </c>
      <c r="G841">
        <f t="shared" si="15"/>
        <v>-0.73340619293814635</v>
      </c>
    </row>
    <row r="842" spans="2:7" x14ac:dyDescent="0.2">
      <c r="B842" s="10">
        <v>792</v>
      </c>
      <c r="C842" s="9">
        <v>108.48344173816031</v>
      </c>
      <c r="D842" s="9">
        <v>100</v>
      </c>
      <c r="E842" s="9">
        <v>2.2761581740925463</v>
      </c>
      <c r="F842" s="9">
        <v>6.2072835640677626</v>
      </c>
      <c r="G842">
        <f t="shared" si="15"/>
        <v>1.9999999999999966E-2</v>
      </c>
    </row>
    <row r="843" spans="2:7" x14ac:dyDescent="0.2">
      <c r="B843" s="10">
        <v>793</v>
      </c>
      <c r="C843" s="9">
        <v>147.16210801999631</v>
      </c>
      <c r="D843" s="9">
        <v>100</v>
      </c>
      <c r="E843" s="9">
        <v>15.813691372735146</v>
      </c>
      <c r="F843" s="9">
        <v>31.348416647261164</v>
      </c>
      <c r="G843">
        <f t="shared" si="15"/>
        <v>1.9999999999999966E-2</v>
      </c>
    </row>
    <row r="844" spans="2:7" x14ac:dyDescent="0.2">
      <c r="B844" s="10">
        <v>794</v>
      </c>
      <c r="C844" s="9">
        <v>129.96518834530576</v>
      </c>
      <c r="D844" s="9">
        <v>100</v>
      </c>
      <c r="E844" s="9">
        <v>9.794769486593454</v>
      </c>
      <c r="F844" s="9">
        <v>20.17041885871231</v>
      </c>
      <c r="G844">
        <f t="shared" si="15"/>
        <v>1.9999999999999966E-2</v>
      </c>
    </row>
    <row r="845" spans="2:7" x14ac:dyDescent="0.2">
      <c r="B845" s="10">
        <v>795</v>
      </c>
      <c r="C845" s="9">
        <v>74.609394511359255</v>
      </c>
      <c r="D845" s="9">
        <v>59.687515609087406</v>
      </c>
      <c r="E845" s="9">
        <v>0</v>
      </c>
      <c r="F845" s="9">
        <v>0</v>
      </c>
      <c r="G845">
        <f t="shared" si="15"/>
        <v>-0.49604730623367038</v>
      </c>
    </row>
    <row r="846" spans="2:7" x14ac:dyDescent="0.2">
      <c r="B846" s="10">
        <v>796</v>
      </c>
      <c r="C846" s="9">
        <v>91.138866760578125</v>
      </c>
      <c r="D846" s="9">
        <v>72.911093408462506</v>
      </c>
      <c r="E846" s="9">
        <v>0</v>
      </c>
      <c r="F846" s="9">
        <v>0</v>
      </c>
      <c r="G846">
        <f t="shared" si="15"/>
        <v>-0.2959293855950188</v>
      </c>
    </row>
    <row r="847" spans="2:7" x14ac:dyDescent="0.2">
      <c r="B847" s="10">
        <v>797</v>
      </c>
      <c r="C847" s="9">
        <v>121.25387780319019</v>
      </c>
      <c r="D847" s="9">
        <v>100</v>
      </c>
      <c r="E847" s="9">
        <v>6.7458107968530054</v>
      </c>
      <c r="F847" s="9">
        <v>14.508067006337187</v>
      </c>
      <c r="G847">
        <f t="shared" si="15"/>
        <v>1.9999999999999966E-2</v>
      </c>
    </row>
    <row r="848" spans="2:7" x14ac:dyDescent="0.2">
      <c r="B848" s="10">
        <v>798</v>
      </c>
      <c r="C848" s="9">
        <v>118.99362002880802</v>
      </c>
      <c r="D848" s="9">
        <v>100</v>
      </c>
      <c r="E848" s="9">
        <v>5.9547205758192465</v>
      </c>
      <c r="F848" s="9">
        <v>13.038899452988778</v>
      </c>
      <c r="G848">
        <f t="shared" si="15"/>
        <v>1.9999999999999966E-2</v>
      </c>
    </row>
    <row r="849" spans="2:7" x14ac:dyDescent="0.2">
      <c r="B849" s="10">
        <v>799</v>
      </c>
      <c r="C849" s="9">
        <v>104.72971808214815</v>
      </c>
      <c r="D849" s="9">
        <v>100</v>
      </c>
      <c r="E849" s="9">
        <v>0.96235489448829192</v>
      </c>
      <c r="F849" s="9">
        <v>3.7673631876598614</v>
      </c>
      <c r="G849">
        <f t="shared" si="15"/>
        <v>1.9999999999999966E-2</v>
      </c>
    </row>
    <row r="850" spans="2:7" x14ac:dyDescent="0.2">
      <c r="B850" s="10">
        <v>800</v>
      </c>
      <c r="C850" s="9">
        <v>84.482152022503939</v>
      </c>
      <c r="D850" s="9">
        <v>67.585721618003149</v>
      </c>
      <c r="E850" s="9">
        <v>0</v>
      </c>
      <c r="F850" s="9">
        <v>0</v>
      </c>
      <c r="G850">
        <f t="shared" si="15"/>
        <v>-0.37177344391757006</v>
      </c>
    </row>
    <row r="851" spans="2:7" x14ac:dyDescent="0.2">
      <c r="B851" s="10">
        <v>801</v>
      </c>
      <c r="C851" s="9">
        <v>65.935005109091435</v>
      </c>
      <c r="D851" s="9">
        <v>52.748004087273145</v>
      </c>
      <c r="E851" s="9">
        <v>0</v>
      </c>
      <c r="F851" s="9">
        <v>0</v>
      </c>
      <c r="G851">
        <f t="shared" si="15"/>
        <v>-0.6196442515558529</v>
      </c>
    </row>
    <row r="852" spans="2:7" x14ac:dyDescent="0.2">
      <c r="B852" s="10">
        <v>802</v>
      </c>
      <c r="C852" s="9">
        <v>81.286520805332145</v>
      </c>
      <c r="D852" s="9">
        <v>65.029216644265716</v>
      </c>
      <c r="E852" s="9">
        <v>0</v>
      </c>
      <c r="F852" s="9">
        <v>0</v>
      </c>
      <c r="G852">
        <f t="shared" si="15"/>
        <v>-0.41033353024654357</v>
      </c>
    </row>
    <row r="853" spans="2:7" x14ac:dyDescent="0.2">
      <c r="B853" s="10">
        <v>803</v>
      </c>
      <c r="C853" s="9">
        <v>138.04423730031814</v>
      </c>
      <c r="D853" s="9">
        <v>100</v>
      </c>
      <c r="E853" s="9">
        <v>12.622436620847788</v>
      </c>
      <c r="F853" s="9">
        <v>25.421800679470358</v>
      </c>
      <c r="G853">
        <f t="shared" si="15"/>
        <v>1.9999999999999966E-2</v>
      </c>
    </row>
    <row r="854" spans="2:7" x14ac:dyDescent="0.2">
      <c r="B854" s="10">
        <v>804</v>
      </c>
      <c r="C854" s="9">
        <v>86.057974013408796</v>
      </c>
      <c r="D854" s="9">
        <v>68.846379210727036</v>
      </c>
      <c r="E854" s="9">
        <v>0</v>
      </c>
      <c r="F854" s="9">
        <v>0</v>
      </c>
      <c r="G854">
        <f t="shared" si="15"/>
        <v>-0.35329255172822943</v>
      </c>
    </row>
    <row r="855" spans="2:7" x14ac:dyDescent="0.2">
      <c r="B855" s="10">
        <v>805</v>
      </c>
      <c r="C855" s="9">
        <v>87.163407044254654</v>
      </c>
      <c r="D855" s="9">
        <v>69.730725635403729</v>
      </c>
      <c r="E855" s="9">
        <v>0</v>
      </c>
      <c r="F855" s="9">
        <v>0</v>
      </c>
      <c r="G855">
        <f t="shared" si="15"/>
        <v>-0.34052913845045185</v>
      </c>
    </row>
    <row r="856" spans="2:7" x14ac:dyDescent="0.2">
      <c r="B856" s="10">
        <v>806</v>
      </c>
      <c r="C856" s="9">
        <v>150.18605246322554</v>
      </c>
      <c r="D856" s="9">
        <v>100</v>
      </c>
      <c r="E856" s="9">
        <v>16.872071927865374</v>
      </c>
      <c r="F856" s="9">
        <v>33.313980535360159</v>
      </c>
      <c r="G856">
        <f t="shared" si="15"/>
        <v>1.9999999999999966E-2</v>
      </c>
    </row>
    <row r="857" spans="2:7" x14ac:dyDescent="0.2">
      <c r="B857" s="10">
        <v>807</v>
      </c>
      <c r="C857" s="9">
        <v>126.13777934499943</v>
      </c>
      <c r="D857" s="9">
        <v>100</v>
      </c>
      <c r="E857" s="9">
        <v>8.4551763364862378</v>
      </c>
      <c r="F857" s="9">
        <v>17.68260300851319</v>
      </c>
      <c r="G857">
        <f t="shared" si="15"/>
        <v>1.9999999999999966E-2</v>
      </c>
    </row>
    <row r="858" spans="2:7" x14ac:dyDescent="0.2">
      <c r="B858" s="10">
        <v>808</v>
      </c>
      <c r="C858" s="9">
        <v>117.72520272757507</v>
      </c>
      <c r="D858" s="9">
        <v>100</v>
      </c>
      <c r="E858" s="9">
        <v>5.5107745203877112</v>
      </c>
      <c r="F858" s="9">
        <v>12.214428207187355</v>
      </c>
      <c r="G858">
        <f t="shared" si="15"/>
        <v>1.9999999999999966E-2</v>
      </c>
    </row>
    <row r="859" spans="2:7" x14ac:dyDescent="0.2">
      <c r="B859" s="10">
        <v>809</v>
      </c>
      <c r="C859" s="9">
        <v>153.23555969736594</v>
      </c>
      <c r="D859" s="9">
        <v>100</v>
      </c>
      <c r="E859" s="9">
        <v>17.939399459814517</v>
      </c>
      <c r="F859" s="9">
        <v>35.296160237551426</v>
      </c>
      <c r="G859">
        <f t="shared" si="15"/>
        <v>1.9999999999999966E-2</v>
      </c>
    </row>
    <row r="860" spans="2:7" x14ac:dyDescent="0.2">
      <c r="B860" s="10">
        <v>810</v>
      </c>
      <c r="C860" s="9">
        <v>86.857436616261424</v>
      </c>
      <c r="D860" s="9">
        <v>69.485949293009142</v>
      </c>
      <c r="E860" s="9">
        <v>0</v>
      </c>
      <c r="F860" s="9">
        <v>0</v>
      </c>
      <c r="G860">
        <f t="shared" si="15"/>
        <v>-0.3440456223020516</v>
      </c>
    </row>
    <row r="861" spans="2:7" x14ac:dyDescent="0.2">
      <c r="B861" s="10">
        <v>811</v>
      </c>
      <c r="C861" s="9">
        <v>171.11073556087462</v>
      </c>
      <c r="D861" s="9">
        <v>100</v>
      </c>
      <c r="E861" s="9">
        <v>24.195711012042551</v>
      </c>
      <c r="F861" s="9">
        <v>46.915024548832065</v>
      </c>
      <c r="G861">
        <f t="shared" si="15"/>
        <v>1.9999999999999966E-2</v>
      </c>
    </row>
    <row r="862" spans="2:7" x14ac:dyDescent="0.2">
      <c r="B862" s="10">
        <v>812</v>
      </c>
      <c r="C862" s="9">
        <v>265.13929493332824</v>
      </c>
      <c r="D862" s="9">
        <v>100</v>
      </c>
      <c r="E862" s="9">
        <v>57.105706792401321</v>
      </c>
      <c r="F862" s="9">
        <v>108.03358814092692</v>
      </c>
      <c r="G862">
        <f t="shared" si="15"/>
        <v>1.9999999999999966E-2</v>
      </c>
    </row>
    <row r="863" spans="2:7" x14ac:dyDescent="0.2">
      <c r="B863" s="10">
        <v>813</v>
      </c>
      <c r="C863" s="9">
        <v>99.988533095121426</v>
      </c>
      <c r="D863" s="9">
        <v>79.990826476097141</v>
      </c>
      <c r="E863" s="9">
        <v>0</v>
      </c>
      <c r="F863" s="9">
        <v>0</v>
      </c>
      <c r="G863">
        <f t="shared" si="15"/>
        <v>-0.20325822693799359</v>
      </c>
    </row>
    <row r="864" spans="2:7" x14ac:dyDescent="0.2">
      <c r="B864" s="10">
        <v>814</v>
      </c>
      <c r="C864" s="9">
        <v>63.904040204111745</v>
      </c>
      <c r="D864" s="9">
        <v>51.123232163289394</v>
      </c>
      <c r="E864" s="9">
        <v>0</v>
      </c>
      <c r="F864" s="9">
        <v>0</v>
      </c>
      <c r="G864">
        <f t="shared" si="15"/>
        <v>-0.65093115093614895</v>
      </c>
    </row>
    <row r="865" spans="2:7" x14ac:dyDescent="0.2">
      <c r="B865" s="10">
        <v>815</v>
      </c>
      <c r="C865" s="9">
        <v>139.14214076644035</v>
      </c>
      <c r="D865" s="9">
        <v>100</v>
      </c>
      <c r="E865" s="9">
        <v>13.006702833990559</v>
      </c>
      <c r="F865" s="9">
        <v>26.13543793244979</v>
      </c>
      <c r="G865">
        <f t="shared" si="15"/>
        <v>1.9999999999999966E-2</v>
      </c>
    </row>
    <row r="866" spans="2:7" x14ac:dyDescent="0.2">
      <c r="B866" s="10">
        <v>816</v>
      </c>
      <c r="C866" s="9">
        <v>112.80772301196215</v>
      </c>
      <c r="D866" s="9">
        <v>100</v>
      </c>
      <c r="E866" s="9">
        <v>3.7896566199231918</v>
      </c>
      <c r="F866" s="9">
        <v>9.0180663920389605</v>
      </c>
      <c r="G866">
        <f t="shared" si="15"/>
        <v>1.9999999999999966E-2</v>
      </c>
    </row>
    <row r="867" spans="2:7" x14ac:dyDescent="0.2">
      <c r="B867" s="10">
        <v>817</v>
      </c>
      <c r="C867" s="9">
        <v>94.503720854222735</v>
      </c>
      <c r="D867" s="9">
        <v>75.602976683378188</v>
      </c>
      <c r="E867" s="9">
        <v>0</v>
      </c>
      <c r="F867" s="9">
        <v>0</v>
      </c>
      <c r="G867">
        <f t="shared" si="15"/>
        <v>-0.25967452945898534</v>
      </c>
    </row>
    <row r="868" spans="2:7" x14ac:dyDescent="0.2">
      <c r="B868" s="10">
        <v>818</v>
      </c>
      <c r="C868" s="9">
        <v>98.212782518132599</v>
      </c>
      <c r="D868" s="9">
        <v>78.570226014506076</v>
      </c>
      <c r="E868" s="9">
        <v>0</v>
      </c>
      <c r="F868" s="9">
        <v>0</v>
      </c>
      <c r="G868">
        <f t="shared" si="15"/>
        <v>-0.22117736220393761</v>
      </c>
    </row>
    <row r="869" spans="2:7" x14ac:dyDescent="0.2">
      <c r="B869" s="10">
        <v>819</v>
      </c>
      <c r="C869" s="9">
        <v>142.78277367403703</v>
      </c>
      <c r="D869" s="9">
        <v>100</v>
      </c>
      <c r="E869" s="9">
        <v>14.280924351649398</v>
      </c>
      <c r="F869" s="9">
        <v>28.501849322387635</v>
      </c>
      <c r="G869">
        <f t="shared" si="15"/>
        <v>1.9999999999999966E-2</v>
      </c>
    </row>
    <row r="870" spans="2:7" x14ac:dyDescent="0.2">
      <c r="B870" s="10">
        <v>820</v>
      </c>
      <c r="C870" s="9">
        <v>130.95879528554423</v>
      </c>
      <c r="D870" s="9">
        <v>100</v>
      </c>
      <c r="E870" s="9">
        <v>10.142531915676917</v>
      </c>
      <c r="F870" s="9">
        <v>20.816263369867308</v>
      </c>
      <c r="G870">
        <f t="shared" si="15"/>
        <v>1.9999999999999966E-2</v>
      </c>
    </row>
    <row r="871" spans="2:7" x14ac:dyDescent="0.2">
      <c r="B871" s="10">
        <v>821</v>
      </c>
      <c r="C871" s="9">
        <v>97.158087153132939</v>
      </c>
      <c r="D871" s="9">
        <v>77.726469722506351</v>
      </c>
      <c r="E871" s="9">
        <v>0</v>
      </c>
      <c r="F871" s="9">
        <v>0</v>
      </c>
      <c r="G871">
        <f t="shared" si="15"/>
        <v>-0.23197432095854137</v>
      </c>
    </row>
    <row r="872" spans="2:7" x14ac:dyDescent="0.2">
      <c r="B872" s="10">
        <v>822</v>
      </c>
      <c r="C872" s="9">
        <v>110.70621689100059</v>
      </c>
      <c r="D872" s="9">
        <v>100</v>
      </c>
      <c r="E872" s="9">
        <v>3.0541294775866459</v>
      </c>
      <c r="F872" s="9">
        <v>7.6520874134139483</v>
      </c>
      <c r="G872">
        <f t="shared" si="15"/>
        <v>1.9999999999999966E-2</v>
      </c>
    </row>
    <row r="873" spans="2:7" x14ac:dyDescent="0.2">
      <c r="B873" s="10">
        <v>823</v>
      </c>
      <c r="C873" s="9">
        <v>166.74976848510539</v>
      </c>
      <c r="D873" s="9">
        <v>100</v>
      </c>
      <c r="E873" s="9">
        <v>22.669372535523323</v>
      </c>
      <c r="F873" s="9">
        <v>44.080395949582069</v>
      </c>
      <c r="G873">
        <f t="shared" si="15"/>
        <v>1.9999999999999966E-2</v>
      </c>
    </row>
    <row r="874" spans="2:7" x14ac:dyDescent="0.2">
      <c r="B874" s="10">
        <v>824</v>
      </c>
      <c r="C874" s="9">
        <v>120.61877858036483</v>
      </c>
      <c r="D874" s="9">
        <v>100</v>
      </c>
      <c r="E874" s="9">
        <v>6.523526068864129</v>
      </c>
      <c r="F874" s="9">
        <v>14.095252511500703</v>
      </c>
      <c r="G874">
        <f t="shared" si="15"/>
        <v>1.9999999999999966E-2</v>
      </c>
    </row>
    <row r="875" spans="2:7" x14ac:dyDescent="0.2">
      <c r="B875" s="10">
        <v>825</v>
      </c>
      <c r="C875" s="9">
        <v>122.37759820359857</v>
      </c>
      <c r="D875" s="9">
        <v>100</v>
      </c>
      <c r="E875" s="9">
        <v>7.1391129369959359</v>
      </c>
      <c r="F875" s="9">
        <v>15.23848526660263</v>
      </c>
      <c r="G875">
        <f t="shared" si="15"/>
        <v>1.9999999999999966E-2</v>
      </c>
    </row>
    <row r="876" spans="2:7" x14ac:dyDescent="0.2">
      <c r="B876" s="10">
        <v>826</v>
      </c>
      <c r="C876" s="9">
        <v>75.950061359243747</v>
      </c>
      <c r="D876" s="9">
        <v>60.760049087394997</v>
      </c>
      <c r="E876" s="9">
        <v>0</v>
      </c>
      <c r="F876" s="9">
        <v>0</v>
      </c>
      <c r="G876">
        <f t="shared" si="15"/>
        <v>-0.47823770037086877</v>
      </c>
    </row>
    <row r="877" spans="2:7" x14ac:dyDescent="0.2">
      <c r="B877" s="10">
        <v>827</v>
      </c>
      <c r="C877" s="9">
        <v>131.77251463091838</v>
      </c>
      <c r="D877" s="9">
        <v>100</v>
      </c>
      <c r="E877" s="9">
        <v>10.427333686557871</v>
      </c>
      <c r="F877" s="9">
        <v>21.345180944360507</v>
      </c>
      <c r="G877">
        <f t="shared" si="15"/>
        <v>1.9999999999999966E-2</v>
      </c>
    </row>
    <row r="878" spans="2:7" x14ac:dyDescent="0.2">
      <c r="B878" s="10">
        <v>828</v>
      </c>
      <c r="C878" s="9">
        <v>163.07439328936047</v>
      </c>
      <c r="D878" s="9">
        <v>100</v>
      </c>
      <c r="E878" s="9">
        <v>21.382991217012602</v>
      </c>
      <c r="F878" s="9">
        <v>41.69140207234787</v>
      </c>
      <c r="G878">
        <f t="shared" si="15"/>
        <v>1.9999999999999966E-2</v>
      </c>
    </row>
    <row r="879" spans="2:7" x14ac:dyDescent="0.2">
      <c r="B879" s="10">
        <v>829</v>
      </c>
      <c r="C879" s="9">
        <v>142.35627818587861</v>
      </c>
      <c r="D879" s="9">
        <v>100</v>
      </c>
      <c r="E879" s="9">
        <v>14.131650930793951</v>
      </c>
      <c r="F879" s="9">
        <v>28.224627255084656</v>
      </c>
      <c r="G879">
        <f t="shared" si="15"/>
        <v>1.9999999999999966E-2</v>
      </c>
    </row>
    <row r="880" spans="2:7" x14ac:dyDescent="0.2">
      <c r="B880" s="10">
        <v>830</v>
      </c>
      <c r="C880" s="9">
        <v>148.10926884742454</v>
      </c>
      <c r="D880" s="9">
        <v>100</v>
      </c>
      <c r="E880" s="9">
        <v>16.145197662335029</v>
      </c>
      <c r="F880" s="9">
        <v>31.964071185089516</v>
      </c>
      <c r="G880">
        <f t="shared" si="15"/>
        <v>1.9999999999999966E-2</v>
      </c>
    </row>
    <row r="881" spans="2:7" x14ac:dyDescent="0.2">
      <c r="B881" s="10">
        <v>831</v>
      </c>
      <c r="C881" s="9">
        <v>118.71362450764724</v>
      </c>
      <c r="D881" s="9">
        <v>100</v>
      </c>
      <c r="E881" s="9">
        <v>5.8567221434129717</v>
      </c>
      <c r="F881" s="9">
        <v>12.856902364234267</v>
      </c>
      <c r="G881">
        <f t="shared" si="15"/>
        <v>1.9999999999999966E-2</v>
      </c>
    </row>
    <row r="882" spans="2:7" x14ac:dyDescent="0.2">
      <c r="B882" s="10">
        <v>832</v>
      </c>
      <c r="C882" s="9">
        <v>102.29732625816055</v>
      </c>
      <c r="D882" s="9">
        <v>100</v>
      </c>
      <c r="E882" s="9">
        <v>0.1110177560926317</v>
      </c>
      <c r="F882" s="9">
        <v>2.1863085020679209</v>
      </c>
      <c r="G882">
        <f t="shared" si="15"/>
        <v>1.9999999999999966E-2</v>
      </c>
    </row>
    <row r="883" spans="2:7" x14ac:dyDescent="0.2">
      <c r="B883" s="10">
        <v>833</v>
      </c>
      <c r="C883" s="9">
        <v>125.54657590244305</v>
      </c>
      <c r="D883" s="9">
        <v>100</v>
      </c>
      <c r="E883" s="9">
        <v>8.248255131591506</v>
      </c>
      <c r="F883" s="9">
        <v>17.298320770851547</v>
      </c>
      <c r="G883">
        <f t="shared" ref="G883:G946" si="16">LN(D883/$C$7)</f>
        <v>1.9999999999999966E-2</v>
      </c>
    </row>
    <row r="884" spans="2:7" x14ac:dyDescent="0.2">
      <c r="B884" s="10">
        <v>834</v>
      </c>
      <c r="C884" s="9">
        <v>84.298273349600407</v>
      </c>
      <c r="D884" s="9">
        <v>67.438618679680332</v>
      </c>
      <c r="E884" s="9">
        <v>0</v>
      </c>
      <c r="F884" s="9">
        <v>0</v>
      </c>
      <c r="G884">
        <f t="shared" si="16"/>
        <v>-0.37395235471540056</v>
      </c>
    </row>
    <row r="885" spans="2:7" x14ac:dyDescent="0.2">
      <c r="B885" s="10">
        <v>835</v>
      </c>
      <c r="C885" s="9">
        <v>91.213102753788618</v>
      </c>
      <c r="D885" s="9">
        <v>72.970482203030897</v>
      </c>
      <c r="E885" s="9">
        <v>0</v>
      </c>
      <c r="F885" s="9">
        <v>0</v>
      </c>
      <c r="G885">
        <f t="shared" si="16"/>
        <v>-0.29511517999571202</v>
      </c>
    </row>
    <row r="886" spans="2:7" x14ac:dyDescent="0.2">
      <c r="B886" s="10">
        <v>836</v>
      </c>
      <c r="C886" s="9">
        <v>69.926311785417894</v>
      </c>
      <c r="D886" s="9">
        <v>55.941049428334317</v>
      </c>
      <c r="E886" s="9">
        <v>0</v>
      </c>
      <c r="F886" s="9">
        <v>0</v>
      </c>
      <c r="G886">
        <f t="shared" si="16"/>
        <v>-0.56087173849867433</v>
      </c>
    </row>
    <row r="887" spans="2:7" x14ac:dyDescent="0.2">
      <c r="B887" s="10">
        <v>837</v>
      </c>
      <c r="C887" s="9">
        <v>101.11393221167704</v>
      </c>
      <c r="D887" s="9">
        <v>100</v>
      </c>
      <c r="E887" s="9">
        <v>-0.30317016017659809</v>
      </c>
      <c r="F887" s="9">
        <v>1.4171023718536369</v>
      </c>
      <c r="G887">
        <f t="shared" si="16"/>
        <v>1.9999999999999966E-2</v>
      </c>
    </row>
    <row r="888" spans="2:7" x14ac:dyDescent="0.2">
      <c r="B888" s="10">
        <v>838</v>
      </c>
      <c r="C888" s="9">
        <v>83.297105044842496</v>
      </c>
      <c r="D888" s="9">
        <v>66.637684035874003</v>
      </c>
      <c r="E888" s="9">
        <v>0</v>
      </c>
      <c r="F888" s="9">
        <v>0</v>
      </c>
      <c r="G888">
        <f t="shared" si="16"/>
        <v>-0.38589994209665163</v>
      </c>
    </row>
    <row r="889" spans="2:7" x14ac:dyDescent="0.2">
      <c r="B889" s="10">
        <v>839</v>
      </c>
      <c r="C889" s="9">
        <v>67.856330931508907</v>
      </c>
      <c r="D889" s="9">
        <v>54.285064745207123</v>
      </c>
      <c r="E889" s="9">
        <v>0</v>
      </c>
      <c r="F889" s="9">
        <v>0</v>
      </c>
      <c r="G889">
        <f t="shared" si="16"/>
        <v>-0.59092104761442599</v>
      </c>
    </row>
    <row r="890" spans="2:7" x14ac:dyDescent="0.2">
      <c r="B890" s="10">
        <v>840</v>
      </c>
      <c r="C890" s="9">
        <v>85.21037775364924</v>
      </c>
      <c r="D890" s="9">
        <v>68.168302202919392</v>
      </c>
      <c r="E890" s="9">
        <v>0</v>
      </c>
      <c r="F890" s="9">
        <v>0</v>
      </c>
      <c r="G890">
        <f t="shared" si="16"/>
        <v>-0.36319050626431537</v>
      </c>
    </row>
    <row r="891" spans="2:7" x14ac:dyDescent="0.2">
      <c r="B891" s="10">
        <v>841</v>
      </c>
      <c r="C891" s="9">
        <v>216.23294007634689</v>
      </c>
      <c r="D891" s="9">
        <v>100</v>
      </c>
      <c r="E891" s="9">
        <v>39.988482592457849</v>
      </c>
      <c r="F891" s="9">
        <v>76.24445748388905</v>
      </c>
      <c r="G891">
        <f t="shared" si="16"/>
        <v>1.9999999999999966E-2</v>
      </c>
    </row>
    <row r="892" spans="2:7" x14ac:dyDescent="0.2">
      <c r="B892" s="10">
        <v>842</v>
      </c>
      <c r="C892" s="9">
        <v>76.306120129984308</v>
      </c>
      <c r="D892" s="9">
        <v>61.044896103987448</v>
      </c>
      <c r="E892" s="9">
        <v>0</v>
      </c>
      <c r="F892" s="9">
        <v>0</v>
      </c>
      <c r="G892">
        <f t="shared" si="16"/>
        <v>-0.47356059082649882</v>
      </c>
    </row>
    <row r="893" spans="2:7" x14ac:dyDescent="0.2">
      <c r="B893" s="10">
        <v>843</v>
      </c>
      <c r="C893" s="9">
        <v>86.866431408346955</v>
      </c>
      <c r="D893" s="9">
        <v>69.493145126677561</v>
      </c>
      <c r="E893" s="9">
        <v>0</v>
      </c>
      <c r="F893" s="9">
        <v>0</v>
      </c>
      <c r="G893">
        <f t="shared" si="16"/>
        <v>-0.34394206955255519</v>
      </c>
    </row>
    <row r="894" spans="2:7" x14ac:dyDescent="0.2">
      <c r="B894" s="10">
        <v>844</v>
      </c>
      <c r="C894" s="9">
        <v>135.24912257308904</v>
      </c>
      <c r="D894" s="9">
        <v>100</v>
      </c>
      <c r="E894" s="9">
        <v>11.644146466317601</v>
      </c>
      <c r="F894" s="9">
        <v>23.604976106771439</v>
      </c>
      <c r="G894">
        <f t="shared" si="16"/>
        <v>1.9999999999999966E-2</v>
      </c>
    </row>
    <row r="895" spans="2:7" x14ac:dyDescent="0.2">
      <c r="B895" s="10">
        <v>845</v>
      </c>
      <c r="C895" s="9">
        <v>95.181285420427457</v>
      </c>
      <c r="D895" s="9">
        <v>76.145028336341966</v>
      </c>
      <c r="E895" s="9">
        <v>0</v>
      </c>
      <c r="F895" s="9">
        <v>0</v>
      </c>
      <c r="G895">
        <f t="shared" si="16"/>
        <v>-0.25253039654789916</v>
      </c>
    </row>
    <row r="896" spans="2:7" x14ac:dyDescent="0.2">
      <c r="B896" s="10">
        <v>846</v>
      </c>
      <c r="C896" s="9">
        <v>152.4507273045613</v>
      </c>
      <c r="D896" s="9">
        <v>100</v>
      </c>
      <c r="E896" s="9">
        <v>17.66470812233289</v>
      </c>
      <c r="F896" s="9">
        <v>34.786019182228408</v>
      </c>
      <c r="G896">
        <f t="shared" si="16"/>
        <v>1.9999999999999966E-2</v>
      </c>
    </row>
    <row r="897" spans="2:7" x14ac:dyDescent="0.2">
      <c r="B897" s="10">
        <v>847</v>
      </c>
      <c r="C897" s="9">
        <v>142.05944161390201</v>
      </c>
      <c r="D897" s="9">
        <v>100</v>
      </c>
      <c r="E897" s="9">
        <v>14.027758130602141</v>
      </c>
      <c r="F897" s="9">
        <v>28.031683483299869</v>
      </c>
      <c r="G897">
        <f t="shared" si="16"/>
        <v>1.9999999999999966E-2</v>
      </c>
    </row>
    <row r="898" spans="2:7" x14ac:dyDescent="0.2">
      <c r="B898" s="10">
        <v>848</v>
      </c>
      <c r="C898" s="9">
        <v>93.791992907732862</v>
      </c>
      <c r="D898" s="9">
        <v>75.033594326186289</v>
      </c>
      <c r="E898" s="9">
        <v>0</v>
      </c>
      <c r="F898" s="9">
        <v>0</v>
      </c>
      <c r="G898">
        <f t="shared" si="16"/>
        <v>-0.26723424839079524</v>
      </c>
    </row>
    <row r="899" spans="2:7" x14ac:dyDescent="0.2">
      <c r="B899" s="10">
        <v>849</v>
      </c>
      <c r="C899" s="9">
        <v>110.13460553880078</v>
      </c>
      <c r="D899" s="9">
        <v>100</v>
      </c>
      <c r="E899" s="9">
        <v>2.8540655043167127</v>
      </c>
      <c r="F899" s="9">
        <v>7.2805400344840709</v>
      </c>
      <c r="G899">
        <f t="shared" si="16"/>
        <v>1.9999999999999966E-2</v>
      </c>
    </row>
    <row r="900" spans="2:7" x14ac:dyDescent="0.2">
      <c r="B900" s="10">
        <v>850</v>
      </c>
      <c r="C900" s="9">
        <v>126.80630891476174</v>
      </c>
      <c r="D900" s="9">
        <v>100</v>
      </c>
      <c r="E900" s="9">
        <v>8.6891616859030485</v>
      </c>
      <c r="F900" s="9">
        <v>18.117147228858695</v>
      </c>
      <c r="G900">
        <f t="shared" si="16"/>
        <v>1.9999999999999966E-2</v>
      </c>
    </row>
    <row r="901" spans="2:7" x14ac:dyDescent="0.2">
      <c r="B901" s="10">
        <v>851</v>
      </c>
      <c r="C901" s="9">
        <v>118.50067448037072</v>
      </c>
      <c r="D901" s="9">
        <v>100</v>
      </c>
      <c r="E901" s="9">
        <v>5.7821896338661896</v>
      </c>
      <c r="F901" s="9">
        <v>12.718484846504531</v>
      </c>
      <c r="G901">
        <f t="shared" si="16"/>
        <v>1.9999999999999966E-2</v>
      </c>
    </row>
    <row r="902" spans="2:7" x14ac:dyDescent="0.2">
      <c r="B902" s="10">
        <v>852</v>
      </c>
      <c r="C902" s="9">
        <v>97.249298852418647</v>
      </c>
      <c r="D902" s="9">
        <v>77.799439081934921</v>
      </c>
      <c r="E902" s="9">
        <v>0</v>
      </c>
      <c r="F902" s="9">
        <v>0</v>
      </c>
      <c r="G902">
        <f t="shared" si="16"/>
        <v>-0.23103596457350295</v>
      </c>
    </row>
    <row r="903" spans="2:7" x14ac:dyDescent="0.2">
      <c r="B903" s="10">
        <v>853</v>
      </c>
      <c r="C903" s="9">
        <v>122.39452566073959</v>
      </c>
      <c r="D903" s="9">
        <v>100</v>
      </c>
      <c r="E903" s="9">
        <v>7.1450375469952938</v>
      </c>
      <c r="F903" s="9">
        <v>15.249488113744295</v>
      </c>
      <c r="G903">
        <f t="shared" si="16"/>
        <v>1.9999999999999966E-2</v>
      </c>
    </row>
    <row r="904" spans="2:7" x14ac:dyDescent="0.2">
      <c r="B904" s="10">
        <v>854</v>
      </c>
      <c r="C904" s="9">
        <v>92.798162167219743</v>
      </c>
      <c r="D904" s="9">
        <v>74.238529733775792</v>
      </c>
      <c r="E904" s="9">
        <v>0</v>
      </c>
      <c r="F904" s="9">
        <v>0</v>
      </c>
      <c r="G904">
        <f t="shared" si="16"/>
        <v>-0.27788690193879861</v>
      </c>
    </row>
    <row r="905" spans="2:7" x14ac:dyDescent="0.2">
      <c r="B905" s="10">
        <v>855</v>
      </c>
      <c r="C905" s="9">
        <v>74.887571564811338</v>
      </c>
      <c r="D905" s="9">
        <v>59.910057251849068</v>
      </c>
      <c r="E905" s="9">
        <v>0</v>
      </c>
      <c r="F905" s="9">
        <v>0</v>
      </c>
      <c r="G905">
        <f t="shared" si="16"/>
        <v>-0.49232579426178363</v>
      </c>
    </row>
    <row r="906" spans="2:7" x14ac:dyDescent="0.2">
      <c r="B906" s="10">
        <v>856</v>
      </c>
      <c r="C906" s="9">
        <v>141.88143916519297</v>
      </c>
      <c r="D906" s="9">
        <v>100</v>
      </c>
      <c r="E906" s="9">
        <v>13.965457273553978</v>
      </c>
      <c r="F906" s="9">
        <v>27.915981891638992</v>
      </c>
      <c r="G906">
        <f t="shared" si="16"/>
        <v>1.9999999999999966E-2</v>
      </c>
    </row>
    <row r="907" spans="2:7" x14ac:dyDescent="0.2">
      <c r="B907" s="10">
        <v>857</v>
      </c>
      <c r="C907" s="9">
        <v>123.56319117750496</v>
      </c>
      <c r="D907" s="9">
        <v>100</v>
      </c>
      <c r="E907" s="9">
        <v>7.5540704778631742</v>
      </c>
      <c r="F907" s="9">
        <v>16.009120699641787</v>
      </c>
      <c r="G907">
        <f t="shared" si="16"/>
        <v>1.9999999999999966E-2</v>
      </c>
    </row>
    <row r="908" spans="2:7" x14ac:dyDescent="0.2">
      <c r="B908" s="10">
        <v>858</v>
      </c>
      <c r="C908" s="9">
        <v>120.24599338826117</v>
      </c>
      <c r="D908" s="9">
        <v>100</v>
      </c>
      <c r="E908" s="9">
        <v>6.3930512516278473</v>
      </c>
      <c r="F908" s="9">
        <v>13.852942136633322</v>
      </c>
      <c r="G908">
        <f t="shared" si="16"/>
        <v>1.9999999999999966E-2</v>
      </c>
    </row>
    <row r="909" spans="2:7" x14ac:dyDescent="0.2">
      <c r="B909" s="10">
        <v>859</v>
      </c>
      <c r="C909" s="9">
        <v>129.22862700914365</v>
      </c>
      <c r="D909" s="9">
        <v>100</v>
      </c>
      <c r="E909" s="9">
        <v>9.536973018936715</v>
      </c>
      <c r="F909" s="9">
        <v>19.691653990206937</v>
      </c>
      <c r="G909">
        <f t="shared" si="16"/>
        <v>1.9999999999999966E-2</v>
      </c>
    </row>
    <row r="910" spans="2:7" x14ac:dyDescent="0.2">
      <c r="B910" s="10">
        <v>860</v>
      </c>
      <c r="C910" s="9">
        <v>158.98806920498106</v>
      </c>
      <c r="D910" s="9">
        <v>100</v>
      </c>
      <c r="E910" s="9">
        <v>19.952777787479807</v>
      </c>
      <c r="F910" s="9">
        <v>39.035291417501256</v>
      </c>
      <c r="G910">
        <f t="shared" si="16"/>
        <v>1.9999999999999966E-2</v>
      </c>
    </row>
    <row r="911" spans="2:7" x14ac:dyDescent="0.2">
      <c r="B911" s="10">
        <v>861</v>
      </c>
      <c r="C911" s="9">
        <v>101.5405632062031</v>
      </c>
      <c r="D911" s="9">
        <v>100</v>
      </c>
      <c r="E911" s="9">
        <v>-0.15384931209247554</v>
      </c>
      <c r="F911" s="9">
        <v>1.6944125182955787</v>
      </c>
      <c r="G911">
        <f t="shared" si="16"/>
        <v>1.9999999999999966E-2</v>
      </c>
    </row>
    <row r="912" spans="2:7" x14ac:dyDescent="0.2">
      <c r="B912" s="10">
        <v>862</v>
      </c>
      <c r="C912" s="9">
        <v>143.87794901424263</v>
      </c>
      <c r="D912" s="9">
        <v>100</v>
      </c>
      <c r="E912" s="9">
        <v>14.664235720721358</v>
      </c>
      <c r="F912" s="9">
        <v>29.213713293521273</v>
      </c>
      <c r="G912">
        <f t="shared" si="16"/>
        <v>1.9999999999999966E-2</v>
      </c>
    </row>
    <row r="913" spans="2:7" x14ac:dyDescent="0.2">
      <c r="B913" s="10">
        <v>863</v>
      </c>
      <c r="C913" s="9">
        <v>102.37468320202868</v>
      </c>
      <c r="D913" s="9">
        <v>100</v>
      </c>
      <c r="E913" s="9">
        <v>0.13809268644647543</v>
      </c>
      <c r="F913" s="9">
        <v>2.2365905155822019</v>
      </c>
      <c r="G913">
        <f t="shared" si="16"/>
        <v>1.9999999999999966E-2</v>
      </c>
    </row>
    <row r="914" spans="2:7" x14ac:dyDescent="0.2">
      <c r="B914" s="10">
        <v>864</v>
      </c>
      <c r="C914" s="9">
        <v>102.89154031337307</v>
      </c>
      <c r="D914" s="9">
        <v>100</v>
      </c>
      <c r="E914" s="9">
        <v>0.31899267541701304</v>
      </c>
      <c r="F914" s="9">
        <v>2.5725476379560575</v>
      </c>
      <c r="G914">
        <f t="shared" si="16"/>
        <v>1.9999999999999966E-2</v>
      </c>
    </row>
    <row r="915" spans="2:7" x14ac:dyDescent="0.2">
      <c r="B915" s="10">
        <v>865</v>
      </c>
      <c r="C915" s="9">
        <v>58.462634543724036</v>
      </c>
      <c r="D915" s="9">
        <v>46.770107634979226</v>
      </c>
      <c r="E915" s="9">
        <v>0</v>
      </c>
      <c r="F915" s="9">
        <v>0</v>
      </c>
      <c r="G915">
        <f t="shared" si="16"/>
        <v>-0.73992591288499043</v>
      </c>
    </row>
    <row r="916" spans="2:7" x14ac:dyDescent="0.2">
      <c r="B916" s="10">
        <v>866</v>
      </c>
      <c r="C916" s="9">
        <v>119.06592638019305</v>
      </c>
      <c r="D916" s="9">
        <v>100</v>
      </c>
      <c r="E916" s="9">
        <v>5.9800277988040049</v>
      </c>
      <c r="F916" s="9">
        <v>13.085898581389042</v>
      </c>
      <c r="G916">
        <f t="shared" si="16"/>
        <v>1.9999999999999966E-2</v>
      </c>
    </row>
    <row r="917" spans="2:7" x14ac:dyDescent="0.2">
      <c r="B917" s="10">
        <v>867</v>
      </c>
      <c r="C917" s="9">
        <v>111.51406851126524</v>
      </c>
      <c r="D917" s="9">
        <v>100</v>
      </c>
      <c r="E917" s="9">
        <v>3.3368775446792709</v>
      </c>
      <c r="F917" s="9">
        <v>8.1771909665859646</v>
      </c>
      <c r="G917">
        <f t="shared" si="16"/>
        <v>1.9999999999999966E-2</v>
      </c>
    </row>
    <row r="918" spans="2:7" x14ac:dyDescent="0.2">
      <c r="B918" s="10">
        <v>868</v>
      </c>
      <c r="C918" s="9">
        <v>99.943203792554655</v>
      </c>
      <c r="D918" s="9">
        <v>79.95456303404373</v>
      </c>
      <c r="E918" s="9">
        <v>0</v>
      </c>
      <c r="F918" s="9">
        <v>0</v>
      </c>
      <c r="G918">
        <f t="shared" si="16"/>
        <v>-0.20371167474021948</v>
      </c>
    </row>
    <row r="919" spans="2:7" x14ac:dyDescent="0.2">
      <c r="B919" s="10">
        <v>869</v>
      </c>
      <c r="C919" s="9">
        <v>138.41974139237615</v>
      </c>
      <c r="D919" s="9">
        <v>100</v>
      </c>
      <c r="E919" s="9">
        <v>12.753863053068091</v>
      </c>
      <c r="F919" s="9">
        <v>25.665878339308062</v>
      </c>
      <c r="G919">
        <f t="shared" si="16"/>
        <v>1.9999999999999966E-2</v>
      </c>
    </row>
    <row r="920" spans="2:7" x14ac:dyDescent="0.2">
      <c r="B920" s="10">
        <v>870</v>
      </c>
      <c r="C920" s="9">
        <v>78.568445629881865</v>
      </c>
      <c r="D920" s="9">
        <v>62.854756503905492</v>
      </c>
      <c r="E920" s="9">
        <v>0</v>
      </c>
      <c r="F920" s="9">
        <v>0</v>
      </c>
      <c r="G920">
        <f t="shared" si="16"/>
        <v>-0.44434357356237025</v>
      </c>
    </row>
    <row r="921" spans="2:7" x14ac:dyDescent="0.2">
      <c r="B921" s="10">
        <v>871</v>
      </c>
      <c r="C921" s="9">
        <v>98.892193867156038</v>
      </c>
      <c r="D921" s="9">
        <v>79.113755093724834</v>
      </c>
      <c r="E921" s="9">
        <v>0</v>
      </c>
      <c r="F921" s="9">
        <v>0</v>
      </c>
      <c r="G921">
        <f t="shared" si="16"/>
        <v>-0.21428343134226424</v>
      </c>
    </row>
    <row r="922" spans="2:7" x14ac:dyDescent="0.2">
      <c r="B922" s="10">
        <v>872</v>
      </c>
      <c r="C922" s="9">
        <v>103.52625045380121</v>
      </c>
      <c r="D922" s="9">
        <v>100</v>
      </c>
      <c r="E922" s="9">
        <v>0.54114122456686209</v>
      </c>
      <c r="F922" s="9">
        <v>2.9851092292343488</v>
      </c>
      <c r="G922">
        <f t="shared" si="16"/>
        <v>1.9999999999999966E-2</v>
      </c>
    </row>
    <row r="923" spans="2:7" x14ac:dyDescent="0.2">
      <c r="B923" s="10">
        <v>873</v>
      </c>
      <c r="C923" s="9">
        <v>106.73480938379957</v>
      </c>
      <c r="D923" s="9">
        <v>100</v>
      </c>
      <c r="E923" s="9">
        <v>1.6641368500662885</v>
      </c>
      <c r="F923" s="9">
        <v>5.0706725337332834</v>
      </c>
      <c r="G923">
        <f t="shared" si="16"/>
        <v>1.9999999999999966E-2</v>
      </c>
    </row>
    <row r="924" spans="2:7" x14ac:dyDescent="0.2">
      <c r="B924" s="10">
        <v>874</v>
      </c>
      <c r="C924" s="9">
        <v>93.519557891679156</v>
      </c>
      <c r="D924" s="9">
        <v>74.815646313343322</v>
      </c>
      <c r="E924" s="9">
        <v>0</v>
      </c>
      <c r="F924" s="9">
        <v>0</v>
      </c>
      <c r="G924">
        <f t="shared" si="16"/>
        <v>-0.27014314756968866</v>
      </c>
    </row>
    <row r="925" spans="2:7" x14ac:dyDescent="0.2">
      <c r="B925" s="10">
        <v>875</v>
      </c>
      <c r="C925" s="9">
        <v>138.8244631909013</v>
      </c>
      <c r="D925" s="9">
        <v>100</v>
      </c>
      <c r="E925" s="9">
        <v>12.895515682551892</v>
      </c>
      <c r="F925" s="9">
        <v>25.928947508349406</v>
      </c>
      <c r="G925">
        <f t="shared" si="16"/>
        <v>1.9999999999999966E-2</v>
      </c>
    </row>
    <row r="926" spans="2:7" x14ac:dyDescent="0.2">
      <c r="B926" s="10">
        <v>876</v>
      </c>
      <c r="C926" s="9">
        <v>104.79320573846687</v>
      </c>
      <c r="D926" s="9">
        <v>100</v>
      </c>
      <c r="E926" s="9">
        <v>0.98457557419984165</v>
      </c>
      <c r="F926" s="9">
        <v>3.8086301642670248</v>
      </c>
      <c r="G926">
        <f t="shared" si="16"/>
        <v>1.9999999999999966E-2</v>
      </c>
    </row>
    <row r="927" spans="2:7" x14ac:dyDescent="0.2">
      <c r="B927" s="10">
        <v>877</v>
      </c>
      <c r="C927" s="9">
        <v>105.56642585736726</v>
      </c>
      <c r="D927" s="9">
        <v>100</v>
      </c>
      <c r="E927" s="9">
        <v>1.2552026158149807</v>
      </c>
      <c r="F927" s="9">
        <v>4.3112232415522831</v>
      </c>
      <c r="G927">
        <f t="shared" si="16"/>
        <v>1.9999999999999966E-2</v>
      </c>
    </row>
    <row r="928" spans="2:7" x14ac:dyDescent="0.2">
      <c r="B928" s="10">
        <v>878</v>
      </c>
      <c r="C928" s="9">
        <v>119.8265756076481</v>
      </c>
      <c r="D928" s="9">
        <v>100</v>
      </c>
      <c r="E928" s="9">
        <v>6.2462550284132714</v>
      </c>
      <c r="F928" s="9">
        <v>13.580320579234824</v>
      </c>
      <c r="G928">
        <f t="shared" si="16"/>
        <v>1.9999999999999966E-2</v>
      </c>
    </row>
    <row r="929" spans="2:7" x14ac:dyDescent="0.2">
      <c r="B929" s="10">
        <v>879</v>
      </c>
      <c r="C929" s="9">
        <v>197.38322734077079</v>
      </c>
      <c r="D929" s="9">
        <v>100</v>
      </c>
      <c r="E929" s="9">
        <v>33.391083135006213</v>
      </c>
      <c r="F929" s="9">
        <v>63.992144205764575</v>
      </c>
      <c r="G929">
        <f t="shared" si="16"/>
        <v>1.9999999999999966E-2</v>
      </c>
    </row>
    <row r="930" spans="2:7" x14ac:dyDescent="0.2">
      <c r="B930" s="10">
        <v>880</v>
      </c>
      <c r="C930" s="9">
        <v>98.858199294512346</v>
      </c>
      <c r="D930" s="9">
        <v>79.086559435609871</v>
      </c>
      <c r="E930" s="9">
        <v>0</v>
      </c>
      <c r="F930" s="9">
        <v>0</v>
      </c>
      <c r="G930">
        <f t="shared" si="16"/>
        <v>-0.21462724429186264</v>
      </c>
    </row>
    <row r="931" spans="2:7" x14ac:dyDescent="0.2">
      <c r="B931" s="10">
        <v>881</v>
      </c>
      <c r="C931" s="9">
        <v>132.39911797816882</v>
      </c>
      <c r="D931" s="9">
        <v>100</v>
      </c>
      <c r="E931" s="9">
        <v>10.646644858095524</v>
      </c>
      <c r="F931" s="9">
        <v>21.752473120073294</v>
      </c>
      <c r="G931">
        <f t="shared" si="16"/>
        <v>1.9999999999999966E-2</v>
      </c>
    </row>
    <row r="932" spans="2:7" x14ac:dyDescent="0.2">
      <c r="B932" s="10">
        <v>882</v>
      </c>
      <c r="C932" s="9">
        <v>113.06281504485891</v>
      </c>
      <c r="D932" s="9">
        <v>100</v>
      </c>
      <c r="E932" s="9">
        <v>3.8789388314370559</v>
      </c>
      <c r="F932" s="9">
        <v>9.1838762134218523</v>
      </c>
      <c r="G932">
        <f t="shared" si="16"/>
        <v>1.9999999999999966E-2</v>
      </c>
    </row>
    <row r="933" spans="2:7" x14ac:dyDescent="0.2">
      <c r="B933" s="10">
        <v>883</v>
      </c>
      <c r="C933" s="9">
        <v>114.72419807514027</v>
      </c>
      <c r="D933" s="9">
        <v>100</v>
      </c>
      <c r="E933" s="9">
        <v>4.4604228920355311</v>
      </c>
      <c r="F933" s="9">
        <v>10.263775183104734</v>
      </c>
      <c r="G933">
        <f t="shared" si="16"/>
        <v>1.9999999999999966E-2</v>
      </c>
    </row>
    <row r="934" spans="2:7" x14ac:dyDescent="0.2">
      <c r="B934" s="10">
        <v>884</v>
      </c>
      <c r="C934" s="9">
        <v>120.9807757721765</v>
      </c>
      <c r="D934" s="9">
        <v>100</v>
      </c>
      <c r="E934" s="9">
        <v>6.6502250859982128</v>
      </c>
      <c r="F934" s="9">
        <v>14.330550686178288</v>
      </c>
      <c r="G934">
        <f t="shared" si="16"/>
        <v>1.9999999999999966E-2</v>
      </c>
    </row>
    <row r="935" spans="2:7" x14ac:dyDescent="0.2">
      <c r="B935" s="10">
        <v>885</v>
      </c>
      <c r="C935" s="9">
        <v>123.83306285089692</v>
      </c>
      <c r="D935" s="9">
        <v>100</v>
      </c>
      <c r="E935" s="9">
        <v>7.6485255635503604</v>
      </c>
      <c r="F935" s="9">
        <v>16.184537287346561</v>
      </c>
      <c r="G935">
        <f t="shared" si="16"/>
        <v>1.9999999999999966E-2</v>
      </c>
    </row>
    <row r="936" spans="2:7" x14ac:dyDescent="0.2">
      <c r="B936" s="10">
        <v>886</v>
      </c>
      <c r="C936" s="9">
        <v>109.38707916036563</v>
      </c>
      <c r="D936" s="9">
        <v>100</v>
      </c>
      <c r="E936" s="9">
        <v>2.5924312718644087</v>
      </c>
      <c r="F936" s="9">
        <v>6.7946478885012214</v>
      </c>
      <c r="G936">
        <f t="shared" si="16"/>
        <v>1.9999999999999966E-2</v>
      </c>
    </row>
    <row r="937" spans="2:7" x14ac:dyDescent="0.2">
      <c r="B937" s="10">
        <v>887</v>
      </c>
      <c r="C937" s="9">
        <v>89.549586147839406</v>
      </c>
      <c r="D937" s="9">
        <v>71.639668918271525</v>
      </c>
      <c r="E937" s="9">
        <v>0</v>
      </c>
      <c r="F937" s="9">
        <v>0</v>
      </c>
      <c r="G937">
        <f t="shared" si="16"/>
        <v>-0.31352123027092266</v>
      </c>
    </row>
    <row r="938" spans="2:7" x14ac:dyDescent="0.2">
      <c r="B938" s="10">
        <v>888</v>
      </c>
      <c r="C938" s="9">
        <v>122.11883765239429</v>
      </c>
      <c r="D938" s="9">
        <v>100</v>
      </c>
      <c r="E938" s="9">
        <v>7.0485467440744394</v>
      </c>
      <c r="F938" s="9">
        <v>15.070290908319851</v>
      </c>
      <c r="G938">
        <f t="shared" si="16"/>
        <v>1.9999999999999966E-2</v>
      </c>
    </row>
    <row r="939" spans="2:7" x14ac:dyDescent="0.2">
      <c r="B939" s="10">
        <v>889</v>
      </c>
      <c r="C939" s="9">
        <v>89.517445090252394</v>
      </c>
      <c r="D939" s="9">
        <v>71.613956072201916</v>
      </c>
      <c r="E939" s="9">
        <v>0</v>
      </c>
      <c r="F939" s="9">
        <v>0</v>
      </c>
      <c r="G939">
        <f t="shared" si="16"/>
        <v>-0.31388021380585868</v>
      </c>
    </row>
    <row r="940" spans="2:7" x14ac:dyDescent="0.2">
      <c r="B940" s="10">
        <v>890</v>
      </c>
      <c r="C940" s="9">
        <v>93.503154685746765</v>
      </c>
      <c r="D940" s="9">
        <v>74.802523748597409</v>
      </c>
      <c r="E940" s="9">
        <v>0</v>
      </c>
      <c r="F940" s="9">
        <v>0</v>
      </c>
      <c r="G940">
        <f t="shared" si="16"/>
        <v>-0.27031856162232859</v>
      </c>
    </row>
    <row r="941" spans="2:7" x14ac:dyDescent="0.2">
      <c r="B941" s="10">
        <v>891</v>
      </c>
      <c r="C941" s="9">
        <v>179.82407247667163</v>
      </c>
      <c r="D941" s="9">
        <v>100</v>
      </c>
      <c r="E941" s="9">
        <v>27.245378932571509</v>
      </c>
      <c r="F941" s="9">
        <v>52.578693544100119</v>
      </c>
      <c r="G941">
        <f t="shared" si="16"/>
        <v>1.9999999999999966E-2</v>
      </c>
    </row>
    <row r="942" spans="2:7" x14ac:dyDescent="0.2">
      <c r="B942" s="10">
        <v>892</v>
      </c>
      <c r="C942" s="9">
        <v>125.56078605067947</v>
      </c>
      <c r="D942" s="9">
        <v>100</v>
      </c>
      <c r="E942" s="9">
        <v>8.2532286834742514</v>
      </c>
      <c r="F942" s="9">
        <v>17.307557367205217</v>
      </c>
      <c r="G942">
        <f t="shared" si="16"/>
        <v>1.9999999999999966E-2</v>
      </c>
    </row>
    <row r="943" spans="2:7" x14ac:dyDescent="0.2">
      <c r="B943" s="10">
        <v>893</v>
      </c>
      <c r="C943" s="9">
        <v>111.55354638506556</v>
      </c>
      <c r="D943" s="9">
        <v>100</v>
      </c>
      <c r="E943" s="9">
        <v>3.350694800509384</v>
      </c>
      <c r="F943" s="9">
        <v>8.2028515845561749</v>
      </c>
      <c r="G943">
        <f t="shared" si="16"/>
        <v>1.9999999999999966E-2</v>
      </c>
    </row>
    <row r="944" spans="2:7" x14ac:dyDescent="0.2">
      <c r="B944" s="10">
        <v>894</v>
      </c>
      <c r="C944" s="9">
        <v>116.19230785211715</v>
      </c>
      <c r="D944" s="9">
        <v>100</v>
      </c>
      <c r="E944" s="9">
        <v>4.9742613139774416</v>
      </c>
      <c r="F944" s="9">
        <v>11.218046538139712</v>
      </c>
      <c r="G944">
        <f t="shared" si="16"/>
        <v>1.9999999999999966E-2</v>
      </c>
    </row>
    <row r="945" spans="2:7" x14ac:dyDescent="0.2">
      <c r="B945" s="10">
        <v>895</v>
      </c>
      <c r="C945" s="9">
        <v>85.672161150433752</v>
      </c>
      <c r="D945" s="9">
        <v>68.537728920347007</v>
      </c>
      <c r="E945" s="9">
        <v>0</v>
      </c>
      <c r="F945" s="9">
        <v>0</v>
      </c>
      <c r="G945">
        <f t="shared" si="16"/>
        <v>-0.3577858051891345</v>
      </c>
    </row>
    <row r="946" spans="2:7" x14ac:dyDescent="0.2">
      <c r="B946" s="10">
        <v>896</v>
      </c>
      <c r="C946" s="9">
        <v>107.89449733867353</v>
      </c>
      <c r="D946" s="9">
        <v>100</v>
      </c>
      <c r="E946" s="9">
        <v>2.0700276342721744</v>
      </c>
      <c r="F946" s="9">
        <v>5.8244697044013574</v>
      </c>
      <c r="G946">
        <f t="shared" si="16"/>
        <v>1.9999999999999966E-2</v>
      </c>
    </row>
    <row r="947" spans="2:7" x14ac:dyDescent="0.2">
      <c r="B947" s="10">
        <v>897</v>
      </c>
      <c r="C947" s="9">
        <v>70.254041523768649</v>
      </c>
      <c r="D947" s="9">
        <v>56.203233219014919</v>
      </c>
      <c r="E947" s="9">
        <v>0</v>
      </c>
      <c r="F947" s="9">
        <v>0</v>
      </c>
      <c r="G947">
        <f t="shared" ref="G947:G1010" si="17">LN(D947/$C$7)</f>
        <v>-0.55619590015581266</v>
      </c>
    </row>
    <row r="948" spans="2:7" x14ac:dyDescent="0.2">
      <c r="B948" s="10">
        <v>898</v>
      </c>
      <c r="C948" s="9">
        <v>85.902968098706054</v>
      </c>
      <c r="D948" s="9">
        <v>68.722374478964838</v>
      </c>
      <c r="E948" s="9">
        <v>0</v>
      </c>
      <c r="F948" s="9">
        <v>0</v>
      </c>
      <c r="G948">
        <f t="shared" si="17"/>
        <v>-0.35509535595552638</v>
      </c>
    </row>
    <row r="949" spans="2:7" x14ac:dyDescent="0.2">
      <c r="B949" s="10">
        <v>899</v>
      </c>
      <c r="C949" s="9">
        <v>140.70145348004712</v>
      </c>
      <c r="D949" s="9">
        <v>100</v>
      </c>
      <c r="E949" s="9">
        <v>13.552462283752931</v>
      </c>
      <c r="F949" s="9">
        <v>27.14899119629419</v>
      </c>
      <c r="G949">
        <f t="shared" si="17"/>
        <v>1.9999999999999966E-2</v>
      </c>
    </row>
    <row r="950" spans="2:7" x14ac:dyDescent="0.2">
      <c r="B950" s="10">
        <v>900</v>
      </c>
      <c r="C950" s="9">
        <v>158.77512711776481</v>
      </c>
      <c r="D950" s="9">
        <v>100</v>
      </c>
      <c r="E950" s="9">
        <v>19.878248056954121</v>
      </c>
      <c r="F950" s="9">
        <v>38.89687906081069</v>
      </c>
      <c r="G950">
        <f t="shared" si="17"/>
        <v>1.9999999999999966E-2</v>
      </c>
    </row>
    <row r="951" spans="2:7" x14ac:dyDescent="0.2">
      <c r="B951" s="10">
        <v>901</v>
      </c>
      <c r="C951" s="9">
        <v>136.15016685727574</v>
      </c>
      <c r="D951" s="9">
        <v>100</v>
      </c>
      <c r="E951" s="9">
        <v>11.959511965782944</v>
      </c>
      <c r="F951" s="9">
        <v>24.190654891492791</v>
      </c>
      <c r="G951">
        <f t="shared" si="17"/>
        <v>1.9999999999999966E-2</v>
      </c>
    </row>
    <row r="952" spans="2:7" x14ac:dyDescent="0.2">
      <c r="B952" s="10">
        <v>902</v>
      </c>
      <c r="C952" s="9">
        <v>84.332412671010601</v>
      </c>
      <c r="D952" s="9">
        <v>67.465930136808481</v>
      </c>
      <c r="E952" s="9">
        <v>0</v>
      </c>
      <c r="F952" s="9">
        <v>0</v>
      </c>
      <c r="G952">
        <f t="shared" si="17"/>
        <v>-0.37354745424701918</v>
      </c>
    </row>
    <row r="953" spans="2:7" x14ac:dyDescent="0.2">
      <c r="B953" s="10">
        <v>903</v>
      </c>
      <c r="C953" s="9">
        <v>113.70219980770466</v>
      </c>
      <c r="D953" s="9">
        <v>100</v>
      </c>
      <c r="E953" s="9">
        <v>4.1027234984330692</v>
      </c>
      <c r="F953" s="9">
        <v>9.5994763092715907</v>
      </c>
      <c r="G953">
        <f t="shared" si="17"/>
        <v>1.9999999999999966E-2</v>
      </c>
    </row>
    <row r="954" spans="2:7" x14ac:dyDescent="0.2">
      <c r="B954" s="10">
        <v>904</v>
      </c>
      <c r="C954" s="9">
        <v>146.37356843292008</v>
      </c>
      <c r="D954" s="9">
        <v>100</v>
      </c>
      <c r="E954" s="9">
        <v>15.537702517258465</v>
      </c>
      <c r="F954" s="9">
        <v>30.835865915661614</v>
      </c>
      <c r="G954">
        <f t="shared" si="17"/>
        <v>1.9999999999999966E-2</v>
      </c>
    </row>
    <row r="955" spans="2:7" x14ac:dyDescent="0.2">
      <c r="B955" s="10">
        <v>905</v>
      </c>
      <c r="C955" s="9">
        <v>132.77689162709996</v>
      </c>
      <c r="D955" s="9">
        <v>100</v>
      </c>
      <c r="E955" s="9">
        <v>10.778865635221422</v>
      </c>
      <c r="F955" s="9">
        <v>21.998025991878535</v>
      </c>
      <c r="G955">
        <f t="shared" si="17"/>
        <v>1.9999999999999966E-2</v>
      </c>
    </row>
    <row r="956" spans="2:7" x14ac:dyDescent="0.2">
      <c r="B956" s="10">
        <v>906</v>
      </c>
      <c r="C956" s="9">
        <v>127.86824637083993</v>
      </c>
      <c r="D956" s="9">
        <v>100</v>
      </c>
      <c r="E956" s="9">
        <v>9.0608397955304127</v>
      </c>
      <c r="F956" s="9">
        <v>18.807406575309514</v>
      </c>
      <c r="G956">
        <f t="shared" si="17"/>
        <v>1.9999999999999966E-2</v>
      </c>
    </row>
    <row r="957" spans="2:7" x14ac:dyDescent="0.2">
      <c r="B957" s="10">
        <v>907</v>
      </c>
      <c r="C957" s="9">
        <v>119.53811323997834</v>
      </c>
      <c r="D957" s="9">
        <v>100</v>
      </c>
      <c r="E957" s="9">
        <v>6.145293199728858</v>
      </c>
      <c r="F957" s="9">
        <v>13.392820040249486</v>
      </c>
      <c r="G957">
        <f t="shared" si="17"/>
        <v>1.9999999999999966E-2</v>
      </c>
    </row>
    <row r="958" spans="2:7" x14ac:dyDescent="0.2">
      <c r="B958" s="10">
        <v>908</v>
      </c>
      <c r="C958" s="9">
        <v>103.84736212703658</v>
      </c>
      <c r="D958" s="9">
        <v>100</v>
      </c>
      <c r="E958" s="9">
        <v>0.65353031019923968</v>
      </c>
      <c r="F958" s="9">
        <v>3.1938318168373359</v>
      </c>
      <c r="G958">
        <f t="shared" si="17"/>
        <v>1.9999999999999966E-2</v>
      </c>
    </row>
    <row r="959" spans="2:7" x14ac:dyDescent="0.2">
      <c r="B959" s="10">
        <v>909</v>
      </c>
      <c r="C959" s="9">
        <v>81.432004246199199</v>
      </c>
      <c r="D959" s="9">
        <v>65.145603396959359</v>
      </c>
      <c r="E959" s="9">
        <v>0</v>
      </c>
      <c r="F959" s="9">
        <v>0</v>
      </c>
      <c r="G959">
        <f t="shared" si="17"/>
        <v>-0.40854536900815347</v>
      </c>
    </row>
    <row r="960" spans="2:7" x14ac:dyDescent="0.2">
      <c r="B960" s="10">
        <v>910</v>
      </c>
      <c r="C960" s="9">
        <v>193.3731374404129</v>
      </c>
      <c r="D960" s="9">
        <v>100</v>
      </c>
      <c r="E960" s="9">
        <v>31.987551669880954</v>
      </c>
      <c r="F960" s="9">
        <v>61.385585770531947</v>
      </c>
      <c r="G960">
        <f t="shared" si="17"/>
        <v>1.9999999999999966E-2</v>
      </c>
    </row>
    <row r="961" spans="2:7" x14ac:dyDescent="0.2">
      <c r="B961" s="10">
        <v>911</v>
      </c>
      <c r="C961" s="9">
        <v>107.40551842260122</v>
      </c>
      <c r="D961" s="9">
        <v>100</v>
      </c>
      <c r="E961" s="9">
        <v>1.8988850136468647</v>
      </c>
      <c r="F961" s="9">
        <v>5.5066334089543538</v>
      </c>
      <c r="G961">
        <f t="shared" si="17"/>
        <v>1.9999999999999966E-2</v>
      </c>
    </row>
    <row r="962" spans="2:7" x14ac:dyDescent="0.2">
      <c r="B962" s="10">
        <v>912</v>
      </c>
      <c r="C962" s="9">
        <v>115.36008453039095</v>
      </c>
      <c r="D962" s="9">
        <v>100</v>
      </c>
      <c r="E962" s="9">
        <v>4.6829831513732705</v>
      </c>
      <c r="F962" s="9">
        <v>10.677101379017678</v>
      </c>
      <c r="G962">
        <f t="shared" si="17"/>
        <v>1.9999999999999966E-2</v>
      </c>
    </row>
    <row r="963" spans="2:7" x14ac:dyDescent="0.2">
      <c r="B963" s="10">
        <v>913</v>
      </c>
      <c r="C963" s="9">
        <v>108.28894258090587</v>
      </c>
      <c r="D963" s="9">
        <v>100</v>
      </c>
      <c r="E963" s="9">
        <v>2.2080834690534918</v>
      </c>
      <c r="F963" s="9">
        <v>6.0808591118523765</v>
      </c>
      <c r="G963">
        <f t="shared" si="17"/>
        <v>1.9999999999999966E-2</v>
      </c>
    </row>
    <row r="964" spans="2:7" x14ac:dyDescent="0.2">
      <c r="B964" s="10">
        <v>914</v>
      </c>
      <c r="C964" s="9">
        <v>117.38784267048281</v>
      </c>
      <c r="D964" s="9">
        <v>100</v>
      </c>
      <c r="E964" s="9">
        <v>5.3926985004054222</v>
      </c>
      <c r="F964" s="9">
        <v>11.995144170077388</v>
      </c>
      <c r="G964">
        <f t="shared" si="17"/>
        <v>1.9999999999999966E-2</v>
      </c>
    </row>
    <row r="965" spans="2:7" x14ac:dyDescent="0.2">
      <c r="B965" s="10">
        <v>915</v>
      </c>
      <c r="C965" s="9">
        <v>130.35516915318814</v>
      </c>
      <c r="D965" s="9">
        <v>100</v>
      </c>
      <c r="E965" s="9">
        <v>9.931262769352287</v>
      </c>
      <c r="F965" s="9">
        <v>20.423906383835856</v>
      </c>
      <c r="G965">
        <f t="shared" si="17"/>
        <v>1.9999999999999966E-2</v>
      </c>
    </row>
    <row r="966" spans="2:7" x14ac:dyDescent="0.2">
      <c r="B966" s="10">
        <v>916</v>
      </c>
      <c r="C966" s="9">
        <v>98.84320644441614</v>
      </c>
      <c r="D966" s="9">
        <v>79.074565155532909</v>
      </c>
      <c r="E966" s="9">
        <v>0</v>
      </c>
      <c r="F966" s="9">
        <v>0</v>
      </c>
      <c r="G966">
        <f t="shared" si="17"/>
        <v>-0.21477891595113999</v>
      </c>
    </row>
    <row r="967" spans="2:7" x14ac:dyDescent="0.2">
      <c r="B967" s="10">
        <v>917</v>
      </c>
      <c r="C967" s="9">
        <v>165.12560983312125</v>
      </c>
      <c r="D967" s="9">
        <v>100</v>
      </c>
      <c r="E967" s="9">
        <v>22.100917007328874</v>
      </c>
      <c r="F967" s="9">
        <v>43.024692825792371</v>
      </c>
      <c r="G967">
        <f t="shared" si="17"/>
        <v>1.9999999999999966E-2</v>
      </c>
    </row>
    <row r="968" spans="2:7" x14ac:dyDescent="0.2">
      <c r="B968" s="10">
        <v>918</v>
      </c>
      <c r="C968" s="9">
        <v>110.03277167669248</v>
      </c>
      <c r="D968" s="9">
        <v>100</v>
      </c>
      <c r="E968" s="9">
        <v>2.8184236525788049</v>
      </c>
      <c r="F968" s="9">
        <v>7.2143480241136722</v>
      </c>
      <c r="G968">
        <f t="shared" si="17"/>
        <v>1.9999999999999966E-2</v>
      </c>
    </row>
    <row r="969" spans="2:7" x14ac:dyDescent="0.2">
      <c r="B969" s="10">
        <v>919</v>
      </c>
      <c r="C969" s="9">
        <v>108.24745274133099</v>
      </c>
      <c r="D969" s="9">
        <v>100</v>
      </c>
      <c r="E969" s="9">
        <v>2.1935620252022843</v>
      </c>
      <c r="F969" s="9">
        <v>6.0538907161287039</v>
      </c>
      <c r="G969">
        <f t="shared" si="17"/>
        <v>1.9999999999999966E-2</v>
      </c>
    </row>
    <row r="970" spans="2:7" x14ac:dyDescent="0.2">
      <c r="B970" s="10">
        <v>920</v>
      </c>
      <c r="C970" s="9">
        <v>148.49177079621089</v>
      </c>
      <c r="D970" s="9">
        <v>100</v>
      </c>
      <c r="E970" s="9">
        <v>16.279073344410246</v>
      </c>
      <c r="F970" s="9">
        <v>32.212697451800636</v>
      </c>
      <c r="G970">
        <f t="shared" si="17"/>
        <v>1.9999999999999966E-2</v>
      </c>
    </row>
    <row r="971" spans="2:7" x14ac:dyDescent="0.2">
      <c r="B971" s="10">
        <v>921</v>
      </c>
      <c r="C971" s="9">
        <v>79.491163401015342</v>
      </c>
      <c r="D971" s="9">
        <v>63.592930720812276</v>
      </c>
      <c r="E971" s="9">
        <v>0</v>
      </c>
      <c r="F971" s="9">
        <v>0</v>
      </c>
      <c r="G971">
        <f t="shared" si="17"/>
        <v>-0.43266787400836343</v>
      </c>
    </row>
    <row r="972" spans="2:7" x14ac:dyDescent="0.2">
      <c r="B972" s="10">
        <v>922</v>
      </c>
      <c r="C972" s="9">
        <v>89.902919835573854</v>
      </c>
      <c r="D972" s="9">
        <v>71.922335868459086</v>
      </c>
      <c r="E972" s="9">
        <v>0</v>
      </c>
      <c r="F972" s="9">
        <v>0</v>
      </c>
      <c r="G972">
        <f t="shared" si="17"/>
        <v>-0.30958331764721103</v>
      </c>
    </row>
    <row r="973" spans="2:7" x14ac:dyDescent="0.2">
      <c r="B973" s="10">
        <v>923</v>
      </c>
      <c r="C973" s="9">
        <v>83.948725518850949</v>
      </c>
      <c r="D973" s="9">
        <v>67.158980415080762</v>
      </c>
      <c r="E973" s="9">
        <v>0</v>
      </c>
      <c r="F973" s="9">
        <v>0</v>
      </c>
      <c r="G973">
        <f t="shared" si="17"/>
        <v>-0.3781075353251882</v>
      </c>
    </row>
    <row r="974" spans="2:7" x14ac:dyDescent="0.2">
      <c r="B974" s="10">
        <v>924</v>
      </c>
      <c r="C974" s="9">
        <v>141.71939008316463</v>
      </c>
      <c r="D974" s="9">
        <v>100</v>
      </c>
      <c r="E974" s="9">
        <v>13.908740094844056</v>
      </c>
      <c r="F974" s="9">
        <v>27.81064998832057</v>
      </c>
      <c r="G974">
        <f t="shared" si="17"/>
        <v>1.9999999999999966E-2</v>
      </c>
    </row>
    <row r="975" spans="2:7" x14ac:dyDescent="0.2">
      <c r="B975" s="10">
        <v>925</v>
      </c>
      <c r="C975" s="9">
        <v>130.05355768609328</v>
      </c>
      <c r="D975" s="9">
        <v>100</v>
      </c>
      <c r="E975" s="9">
        <v>9.8256987558690874</v>
      </c>
      <c r="F975" s="9">
        <v>20.227858930224198</v>
      </c>
      <c r="G975">
        <f t="shared" si="17"/>
        <v>1.9999999999999966E-2</v>
      </c>
    </row>
    <row r="976" spans="2:7" x14ac:dyDescent="0.2">
      <c r="B976" s="10">
        <v>926</v>
      </c>
      <c r="C976" s="9">
        <v>188.12287480920747</v>
      </c>
      <c r="D976" s="9">
        <v>100</v>
      </c>
      <c r="E976" s="9">
        <v>30.149959748959052</v>
      </c>
      <c r="F976" s="9">
        <v>57.972915060248425</v>
      </c>
      <c r="G976">
        <f t="shared" si="17"/>
        <v>1.9999999999999966E-2</v>
      </c>
    </row>
    <row r="977" spans="2:7" x14ac:dyDescent="0.2">
      <c r="B977" s="10">
        <v>927</v>
      </c>
      <c r="C977" s="9">
        <v>103.5131405855271</v>
      </c>
      <c r="D977" s="9">
        <v>100</v>
      </c>
      <c r="E977" s="9">
        <v>0.53655277067092222</v>
      </c>
      <c r="F977" s="9">
        <v>2.9765878148561749</v>
      </c>
      <c r="G977">
        <f t="shared" si="17"/>
        <v>1.9999999999999966E-2</v>
      </c>
    </row>
    <row r="978" spans="2:7" x14ac:dyDescent="0.2">
      <c r="B978" s="10">
        <v>928</v>
      </c>
      <c r="C978" s="9">
        <v>122.19643788837935</v>
      </c>
      <c r="D978" s="9">
        <v>100</v>
      </c>
      <c r="E978" s="9">
        <v>7.0757068266692107</v>
      </c>
      <c r="F978" s="9">
        <v>15.120731061710138</v>
      </c>
      <c r="G978">
        <f t="shared" si="17"/>
        <v>1.9999999999999966E-2</v>
      </c>
    </row>
    <row r="979" spans="2:7" x14ac:dyDescent="0.2">
      <c r="B979" s="10">
        <v>929</v>
      </c>
      <c r="C979" s="9">
        <v>104.66692138993685</v>
      </c>
      <c r="D979" s="9">
        <v>100</v>
      </c>
      <c r="E979" s="9">
        <v>0.94037605221433429</v>
      </c>
      <c r="F979" s="9">
        <v>3.7265453377225115</v>
      </c>
      <c r="G979">
        <f t="shared" si="17"/>
        <v>1.9999999999999966E-2</v>
      </c>
    </row>
    <row r="980" spans="2:7" x14ac:dyDescent="0.2">
      <c r="B980" s="10">
        <v>930</v>
      </c>
      <c r="C980" s="9">
        <v>104.10831898312512</v>
      </c>
      <c r="D980" s="9">
        <v>100</v>
      </c>
      <c r="E980" s="9">
        <v>0.74486520983022897</v>
      </c>
      <c r="F980" s="9">
        <v>3.363453773294887</v>
      </c>
      <c r="G980">
        <f t="shared" si="17"/>
        <v>1.9999999999999966E-2</v>
      </c>
    </row>
    <row r="981" spans="2:7" x14ac:dyDescent="0.2">
      <c r="B981" s="10">
        <v>931</v>
      </c>
      <c r="C981" s="9">
        <v>144.21401878040635</v>
      </c>
      <c r="D981" s="9">
        <v>100</v>
      </c>
      <c r="E981" s="9">
        <v>14.78186013887866</v>
      </c>
      <c r="F981" s="9">
        <v>29.432158641527689</v>
      </c>
      <c r="G981">
        <f t="shared" si="17"/>
        <v>1.9999999999999966E-2</v>
      </c>
    </row>
    <row r="982" spans="2:7" x14ac:dyDescent="0.2">
      <c r="B982" s="10">
        <v>932</v>
      </c>
      <c r="C982" s="9">
        <v>169.3671892021442</v>
      </c>
      <c r="D982" s="9">
        <v>100</v>
      </c>
      <c r="E982" s="9">
        <v>23.585469786486907</v>
      </c>
      <c r="F982" s="9">
        <v>45.781719415657292</v>
      </c>
      <c r="G982">
        <f t="shared" si="17"/>
        <v>1.9999999999999966E-2</v>
      </c>
    </row>
    <row r="983" spans="2:7" x14ac:dyDescent="0.2">
      <c r="B983" s="10">
        <v>933</v>
      </c>
      <c r="C983" s="9">
        <v>117.52912089654772</v>
      </c>
      <c r="D983" s="9">
        <v>100</v>
      </c>
      <c r="E983" s="9">
        <v>5.442145879528141</v>
      </c>
      <c r="F983" s="9">
        <v>12.086975017019583</v>
      </c>
      <c r="G983">
        <f t="shared" si="17"/>
        <v>1.9999999999999966E-2</v>
      </c>
    </row>
    <row r="984" spans="2:7" x14ac:dyDescent="0.2">
      <c r="B984" s="10">
        <v>934</v>
      </c>
      <c r="C984" s="9">
        <v>128.5881039631432</v>
      </c>
      <c r="D984" s="9">
        <v>100</v>
      </c>
      <c r="E984" s="9">
        <v>9.3127899528365568</v>
      </c>
      <c r="F984" s="9">
        <v>19.275314010306641</v>
      </c>
      <c r="G984">
        <f t="shared" si="17"/>
        <v>1.9999999999999966E-2</v>
      </c>
    </row>
    <row r="985" spans="2:7" x14ac:dyDescent="0.2">
      <c r="B985" s="10">
        <v>935</v>
      </c>
      <c r="C985" s="9">
        <v>132.52370427202408</v>
      </c>
      <c r="D985" s="9">
        <v>100</v>
      </c>
      <c r="E985" s="9">
        <v>10.690250060944864</v>
      </c>
      <c r="F985" s="9">
        <v>21.833454211079214</v>
      </c>
      <c r="G985">
        <f t="shared" si="17"/>
        <v>1.9999999999999966E-2</v>
      </c>
    </row>
    <row r="986" spans="2:7" x14ac:dyDescent="0.2">
      <c r="B986" s="10">
        <v>936</v>
      </c>
      <c r="C986" s="9">
        <v>99.38493454260724</v>
      </c>
      <c r="D986" s="9">
        <v>79.507947634085795</v>
      </c>
      <c r="E986" s="9">
        <v>0</v>
      </c>
      <c r="F986" s="9">
        <v>0</v>
      </c>
      <c r="G986">
        <f t="shared" si="17"/>
        <v>-0.20931319908442378</v>
      </c>
    </row>
    <row r="987" spans="2:7" x14ac:dyDescent="0.2">
      <c r="B987" s="10">
        <v>937</v>
      </c>
      <c r="C987" s="9">
        <v>116.01775914080177</v>
      </c>
      <c r="D987" s="9">
        <v>100</v>
      </c>
      <c r="E987" s="9">
        <v>4.913169265017058</v>
      </c>
      <c r="F987" s="9">
        <v>11.104589875784715</v>
      </c>
      <c r="G987">
        <f t="shared" si="17"/>
        <v>1.9999999999999966E-2</v>
      </c>
    </row>
    <row r="988" spans="2:7" x14ac:dyDescent="0.2">
      <c r="B988" s="10">
        <v>938</v>
      </c>
      <c r="C988" s="9">
        <v>121.01297249624065</v>
      </c>
      <c r="D988" s="9">
        <v>100</v>
      </c>
      <c r="E988" s="9">
        <v>6.6614939394206658</v>
      </c>
      <c r="F988" s="9">
        <v>14.351478556819984</v>
      </c>
      <c r="G988">
        <f t="shared" si="17"/>
        <v>1.9999999999999966E-2</v>
      </c>
    </row>
    <row r="989" spans="2:7" x14ac:dyDescent="0.2">
      <c r="B989" s="10">
        <v>939</v>
      </c>
      <c r="C989" s="9">
        <v>110.71424010677673</v>
      </c>
      <c r="D989" s="9">
        <v>100</v>
      </c>
      <c r="E989" s="9">
        <v>3.0569376031082931</v>
      </c>
      <c r="F989" s="9">
        <v>7.6573025036684346</v>
      </c>
      <c r="G989">
        <f t="shared" si="17"/>
        <v>1.9999999999999966E-2</v>
      </c>
    </row>
    <row r="990" spans="2:7" x14ac:dyDescent="0.2">
      <c r="B990" s="10">
        <v>940</v>
      </c>
      <c r="C990" s="9">
        <v>134.80015078428755</v>
      </c>
      <c r="D990" s="9">
        <v>100</v>
      </c>
      <c r="E990" s="9">
        <v>11.48700634023708</v>
      </c>
      <c r="F990" s="9">
        <v>23.313144444050472</v>
      </c>
      <c r="G990">
        <f t="shared" si="17"/>
        <v>1.9999999999999966E-2</v>
      </c>
    </row>
    <row r="991" spans="2:7" x14ac:dyDescent="0.2">
      <c r="B991" s="10">
        <v>941</v>
      </c>
      <c r="C991" s="9">
        <v>91.284770850444659</v>
      </c>
      <c r="D991" s="9">
        <v>73.027816680355727</v>
      </c>
      <c r="E991" s="9">
        <v>0</v>
      </c>
      <c r="F991" s="9">
        <v>0</v>
      </c>
      <c r="G991">
        <f t="shared" si="17"/>
        <v>-0.29432976700514074</v>
      </c>
    </row>
    <row r="992" spans="2:7" x14ac:dyDescent="0.2">
      <c r="B992" s="10">
        <v>942</v>
      </c>
      <c r="C992" s="9">
        <v>170.85553078680221</v>
      </c>
      <c r="D992" s="9">
        <v>100</v>
      </c>
      <c r="E992" s="9">
        <v>24.106389341117207</v>
      </c>
      <c r="F992" s="9">
        <v>46.749141445684998</v>
      </c>
      <c r="G992">
        <f t="shared" si="17"/>
        <v>1.9999999999999966E-2</v>
      </c>
    </row>
    <row r="993" spans="2:7" x14ac:dyDescent="0.2">
      <c r="B993" s="10">
        <v>943</v>
      </c>
      <c r="C993" s="9">
        <v>124.67059182198513</v>
      </c>
      <c r="D993" s="9">
        <v>100</v>
      </c>
      <c r="E993" s="9">
        <v>7.9416607034312321</v>
      </c>
      <c r="F993" s="9">
        <v>16.728931118553895</v>
      </c>
      <c r="G993">
        <f t="shared" si="17"/>
        <v>1.9999999999999966E-2</v>
      </c>
    </row>
    <row r="994" spans="2:7" x14ac:dyDescent="0.2">
      <c r="B994" s="10">
        <v>944</v>
      </c>
      <c r="C994" s="9">
        <v>123.51087288559093</v>
      </c>
      <c r="D994" s="9">
        <v>100</v>
      </c>
      <c r="E994" s="9">
        <v>7.5357590756932629</v>
      </c>
      <c r="F994" s="9">
        <v>15.975113809897664</v>
      </c>
      <c r="G994">
        <f t="shared" si="17"/>
        <v>1.9999999999999966E-2</v>
      </c>
    </row>
    <row r="995" spans="2:7" x14ac:dyDescent="0.2">
      <c r="B995" s="10">
        <v>945</v>
      </c>
      <c r="C995" s="9">
        <v>110.01301913848944</v>
      </c>
      <c r="D995" s="9">
        <v>100</v>
      </c>
      <c r="E995" s="9">
        <v>2.8115102642077421</v>
      </c>
      <c r="F995" s="9">
        <v>7.2015088742816982</v>
      </c>
      <c r="G995">
        <f t="shared" si="17"/>
        <v>1.9999999999999966E-2</v>
      </c>
    </row>
    <row r="996" spans="2:7" x14ac:dyDescent="0.2">
      <c r="B996" s="10">
        <v>946</v>
      </c>
      <c r="C996" s="9">
        <v>143.8225390879189</v>
      </c>
      <c r="D996" s="9">
        <v>100</v>
      </c>
      <c r="E996" s="9">
        <v>14.644842246508052</v>
      </c>
      <c r="F996" s="9">
        <v>29.177696841410846</v>
      </c>
      <c r="G996">
        <f t="shared" si="17"/>
        <v>1.9999999999999966E-2</v>
      </c>
    </row>
    <row r="997" spans="2:7" x14ac:dyDescent="0.2">
      <c r="B997" s="10">
        <v>947</v>
      </c>
      <c r="C997" s="9">
        <v>144.16944131138456</v>
      </c>
      <c r="D997" s="9">
        <v>100</v>
      </c>
      <c r="E997" s="9">
        <v>14.766258024721033</v>
      </c>
      <c r="F997" s="9">
        <v>29.403183286663527</v>
      </c>
      <c r="G997">
        <f t="shared" si="17"/>
        <v>1.9999999999999966E-2</v>
      </c>
    </row>
    <row r="998" spans="2:7" x14ac:dyDescent="0.2">
      <c r="B998" s="10">
        <v>948</v>
      </c>
      <c r="C998" s="9">
        <v>146.10781063854</v>
      </c>
      <c r="D998" s="9">
        <v>100</v>
      </c>
      <c r="E998" s="9">
        <v>15.444687289225438</v>
      </c>
      <c r="F998" s="9">
        <v>30.663123349314564</v>
      </c>
      <c r="G998">
        <f t="shared" si="17"/>
        <v>1.9999999999999966E-2</v>
      </c>
    </row>
    <row r="999" spans="2:7" x14ac:dyDescent="0.2">
      <c r="B999" s="10">
        <v>949</v>
      </c>
      <c r="C999" s="9">
        <v>98.220269547532752</v>
      </c>
      <c r="D999" s="9">
        <v>78.576215638026198</v>
      </c>
      <c r="E999" s="9">
        <v>0</v>
      </c>
      <c r="F999" s="9">
        <v>0</v>
      </c>
      <c r="G999">
        <f t="shared" si="17"/>
        <v>-0.22110113237066831</v>
      </c>
    </row>
    <row r="1000" spans="2:7" x14ac:dyDescent="0.2">
      <c r="B1000" s="10">
        <v>950</v>
      </c>
      <c r="C1000" s="9">
        <v>162.83430883116429</v>
      </c>
      <c r="D1000" s="9">
        <v>100</v>
      </c>
      <c r="E1000" s="9">
        <v>21.298961656643939</v>
      </c>
      <c r="F1000" s="9">
        <v>41.535347174520354</v>
      </c>
      <c r="G1000">
        <f t="shared" si="17"/>
        <v>1.9999999999999966E-2</v>
      </c>
    </row>
    <row r="1001" spans="2:7" x14ac:dyDescent="0.2">
      <c r="B1001" s="10">
        <v>951</v>
      </c>
      <c r="C1001" s="9">
        <v>104.24828798122286</v>
      </c>
      <c r="D1001" s="9">
        <v>100</v>
      </c>
      <c r="E1001" s="9">
        <v>0.79385435916443892</v>
      </c>
      <c r="F1001" s="9">
        <v>3.4544336220584198</v>
      </c>
      <c r="G1001">
        <f t="shared" si="17"/>
        <v>1.9999999999999966E-2</v>
      </c>
    </row>
    <row r="1002" spans="2:7" x14ac:dyDescent="0.2">
      <c r="B1002" s="10">
        <v>952</v>
      </c>
      <c r="C1002" s="9">
        <v>94.026048427287478</v>
      </c>
      <c r="D1002" s="9">
        <v>75.220838741829979</v>
      </c>
      <c r="E1002" s="9">
        <v>0</v>
      </c>
      <c r="F1002" s="9">
        <v>0</v>
      </c>
      <c r="G1002">
        <f t="shared" si="17"/>
        <v>-0.26474188249184888</v>
      </c>
    </row>
    <row r="1003" spans="2:7" x14ac:dyDescent="0.2">
      <c r="B1003" s="10">
        <v>953</v>
      </c>
      <c r="C1003" s="9">
        <v>107.0488762136016</v>
      </c>
      <c r="D1003" s="9">
        <v>100</v>
      </c>
      <c r="E1003" s="9">
        <v>1.774060240496999</v>
      </c>
      <c r="F1003" s="9">
        <v>5.2748159731046034</v>
      </c>
      <c r="G1003">
        <f t="shared" si="17"/>
        <v>1.9999999999999966E-2</v>
      </c>
    </row>
    <row r="1004" spans="2:7" x14ac:dyDescent="0.2">
      <c r="B1004" s="10">
        <v>954</v>
      </c>
      <c r="C1004" s="9">
        <v>88.681477685618731</v>
      </c>
      <c r="D1004" s="9">
        <v>70.945182148494979</v>
      </c>
      <c r="E1004" s="9">
        <v>0</v>
      </c>
      <c r="F1004" s="9">
        <v>0</v>
      </c>
      <c r="G1004">
        <f t="shared" si="17"/>
        <v>-0.32326268957147247</v>
      </c>
    </row>
    <row r="1005" spans="2:7" x14ac:dyDescent="0.2">
      <c r="B1005" s="10">
        <v>955</v>
      </c>
      <c r="C1005" s="9">
        <v>127.27188299049827</v>
      </c>
      <c r="D1005" s="9">
        <v>100</v>
      </c>
      <c r="E1005" s="9">
        <v>8.8521126124108314</v>
      </c>
      <c r="F1005" s="9">
        <v>18.419770378087438</v>
      </c>
      <c r="G1005">
        <f t="shared" si="17"/>
        <v>1.9999999999999966E-2</v>
      </c>
    </row>
    <row r="1006" spans="2:7" x14ac:dyDescent="0.2">
      <c r="B1006" s="10">
        <v>956</v>
      </c>
      <c r="C1006" s="9">
        <v>163.91548013181182</v>
      </c>
      <c r="D1006" s="9">
        <v>100</v>
      </c>
      <c r="E1006" s="9">
        <v>21.677371611870573</v>
      </c>
      <c r="F1006" s="9">
        <v>42.23810851994125</v>
      </c>
      <c r="G1006">
        <f t="shared" si="17"/>
        <v>1.9999999999999966E-2</v>
      </c>
    </row>
    <row r="1007" spans="2:7" x14ac:dyDescent="0.2">
      <c r="B1007" s="10">
        <v>957</v>
      </c>
      <c r="C1007" s="9">
        <v>143.47057524313698</v>
      </c>
      <c r="D1007" s="9">
        <v>100</v>
      </c>
      <c r="E1007" s="9">
        <v>14.521654900834379</v>
      </c>
      <c r="F1007" s="9">
        <v>28.9489203423026</v>
      </c>
      <c r="G1007">
        <f t="shared" si="17"/>
        <v>1.9999999999999966E-2</v>
      </c>
    </row>
    <row r="1008" spans="2:7" x14ac:dyDescent="0.2">
      <c r="B1008" s="10">
        <v>958</v>
      </c>
      <c r="C1008" s="9">
        <v>102.91804679042653</v>
      </c>
      <c r="D1008" s="9">
        <v>100</v>
      </c>
      <c r="E1008" s="9">
        <v>0.32826994238572382</v>
      </c>
      <c r="F1008" s="9">
        <v>2.5897768480408061</v>
      </c>
      <c r="G1008">
        <f t="shared" si="17"/>
        <v>1.9999999999999966E-2</v>
      </c>
    </row>
    <row r="1009" spans="2:7" x14ac:dyDescent="0.2">
      <c r="B1009" s="10">
        <v>959</v>
      </c>
      <c r="C1009" s="9">
        <v>107.11692893987481</v>
      </c>
      <c r="D1009" s="9">
        <v>100</v>
      </c>
      <c r="E1009" s="9">
        <v>1.797878694692622</v>
      </c>
      <c r="F1009" s="9">
        <v>5.3190502451821882</v>
      </c>
      <c r="G1009">
        <f t="shared" si="17"/>
        <v>1.9999999999999966E-2</v>
      </c>
    </row>
    <row r="1010" spans="2:7" x14ac:dyDescent="0.2">
      <c r="B1010" s="10">
        <v>960</v>
      </c>
      <c r="C1010" s="9">
        <v>86.50565922168721</v>
      </c>
      <c r="D1010" s="9">
        <v>69.204527377349763</v>
      </c>
      <c r="E1010" s="9">
        <v>0</v>
      </c>
      <c r="F1010" s="9">
        <v>0</v>
      </c>
      <c r="G1010">
        <f t="shared" si="17"/>
        <v>-0.34810390097638294</v>
      </c>
    </row>
    <row r="1011" spans="2:7" x14ac:dyDescent="0.2">
      <c r="B1011" s="10">
        <v>961</v>
      </c>
      <c r="C1011" s="9">
        <v>93.553837109962018</v>
      </c>
      <c r="D1011" s="9">
        <v>74.843069687969617</v>
      </c>
      <c r="E1011" s="9">
        <v>0</v>
      </c>
      <c r="F1011" s="9">
        <v>0</v>
      </c>
      <c r="G1011">
        <f t="shared" ref="G1011:G1049" si="18">LN(D1011/$C$7)</f>
        <v>-0.26977666874819484</v>
      </c>
    </row>
    <row r="1012" spans="2:7" x14ac:dyDescent="0.2">
      <c r="B1012" s="10">
        <v>962</v>
      </c>
      <c r="C1012" s="9">
        <v>124.52501549799022</v>
      </c>
      <c r="D1012" s="9">
        <v>100</v>
      </c>
      <c r="E1012" s="9">
        <v>7.8907089900330165</v>
      </c>
      <c r="F1012" s="9">
        <v>16.634306507957209</v>
      </c>
      <c r="G1012">
        <f t="shared" si="18"/>
        <v>1.9999999999999966E-2</v>
      </c>
    </row>
    <row r="1013" spans="2:7" x14ac:dyDescent="0.2">
      <c r="B1013" s="10">
        <v>963</v>
      </c>
      <c r="C1013" s="9">
        <v>119.50324632533473</v>
      </c>
      <c r="D1013" s="9">
        <v>100</v>
      </c>
      <c r="E1013" s="9">
        <v>6.1330897796035933</v>
      </c>
      <c r="F1013" s="9">
        <v>13.370156545731135</v>
      </c>
      <c r="G1013">
        <f t="shared" si="18"/>
        <v>1.9999999999999966E-2</v>
      </c>
    </row>
    <row r="1014" spans="2:7" x14ac:dyDescent="0.2">
      <c r="B1014" s="10">
        <v>964</v>
      </c>
      <c r="C1014" s="9">
        <v>89.269751361283511</v>
      </c>
      <c r="D1014" s="9">
        <v>71.415801089026814</v>
      </c>
      <c r="E1014" s="9">
        <v>0</v>
      </c>
      <c r="F1014" s="9">
        <v>0</v>
      </c>
      <c r="G1014">
        <f t="shared" si="18"/>
        <v>-0.31665103735873684</v>
      </c>
    </row>
    <row r="1015" spans="2:7" x14ac:dyDescent="0.2">
      <c r="B1015" s="10">
        <v>965</v>
      </c>
      <c r="C1015" s="9">
        <v>133.28916657619948</v>
      </c>
      <c r="D1015" s="9">
        <v>100</v>
      </c>
      <c r="E1015" s="9">
        <v>10.958161867406254</v>
      </c>
      <c r="F1015" s="9">
        <v>22.331004708793223</v>
      </c>
      <c r="G1015">
        <f t="shared" si="18"/>
        <v>1.9999999999999966E-2</v>
      </c>
    </row>
    <row r="1016" spans="2:7" x14ac:dyDescent="0.2">
      <c r="B1016" s="10">
        <v>966</v>
      </c>
      <c r="C1016" s="9">
        <v>117.04940134342417</v>
      </c>
      <c r="D1016" s="9">
        <v>100</v>
      </c>
      <c r="E1016" s="9">
        <v>5.2742440359348954</v>
      </c>
      <c r="F1016" s="9">
        <v>11.77515730748927</v>
      </c>
      <c r="G1016">
        <f t="shared" si="18"/>
        <v>1.9999999999999966E-2</v>
      </c>
    </row>
    <row r="1017" spans="2:7" x14ac:dyDescent="0.2">
      <c r="B1017" s="10">
        <v>967</v>
      </c>
      <c r="C1017" s="9">
        <v>126.67335982583732</v>
      </c>
      <c r="D1017" s="9">
        <v>100</v>
      </c>
      <c r="E1017" s="9">
        <v>8.6426295047795012</v>
      </c>
      <c r="F1017" s="9">
        <v>18.030730321057824</v>
      </c>
      <c r="G1017">
        <f t="shared" si="18"/>
        <v>1.9999999999999966E-2</v>
      </c>
    </row>
    <row r="1018" spans="2:7" x14ac:dyDescent="0.2">
      <c r="B1018" s="10">
        <v>968</v>
      </c>
      <c r="C1018" s="9">
        <v>153.04694918102848</v>
      </c>
      <c r="D1018" s="9">
        <v>100</v>
      </c>
      <c r="E1018" s="9">
        <v>17.873385779096406</v>
      </c>
      <c r="F1018" s="9">
        <v>35.173563401932071</v>
      </c>
      <c r="G1018">
        <f t="shared" si="18"/>
        <v>1.9999999999999966E-2</v>
      </c>
    </row>
    <row r="1019" spans="2:7" x14ac:dyDescent="0.2">
      <c r="B1019" s="10">
        <v>969</v>
      </c>
      <c r="C1019" s="9">
        <v>95.047592996917558</v>
      </c>
      <c r="D1019" s="9">
        <v>76.038074397534047</v>
      </c>
      <c r="E1019" s="9">
        <v>0</v>
      </c>
      <c r="F1019" s="9">
        <v>0</v>
      </c>
      <c r="G1019">
        <f t="shared" si="18"/>
        <v>-0.25393599223487917</v>
      </c>
    </row>
    <row r="1020" spans="2:7" x14ac:dyDescent="0.2">
      <c r="B1020" s="10">
        <v>970</v>
      </c>
      <c r="C1020" s="9">
        <v>101.46719383920104</v>
      </c>
      <c r="D1020" s="9">
        <v>100</v>
      </c>
      <c r="E1020" s="9">
        <v>-0.17952859054319603</v>
      </c>
      <c r="F1020" s="9">
        <v>1.6467224297442407</v>
      </c>
      <c r="G1020">
        <f t="shared" si="18"/>
        <v>1.9999999999999966E-2</v>
      </c>
    </row>
    <row r="1021" spans="2:7" x14ac:dyDescent="0.2">
      <c r="B1021" s="10">
        <v>971</v>
      </c>
      <c r="C1021" s="9">
        <v>96.137883975389911</v>
      </c>
      <c r="D1021" s="9">
        <v>76.910307180311932</v>
      </c>
      <c r="E1021" s="9">
        <v>0</v>
      </c>
      <c r="F1021" s="9">
        <v>0</v>
      </c>
      <c r="G1021">
        <f t="shared" si="18"/>
        <v>-0.24253028490406603</v>
      </c>
    </row>
    <row r="1022" spans="2:7" x14ac:dyDescent="0.2">
      <c r="B1022" s="10">
        <v>972</v>
      </c>
      <c r="C1022" s="9">
        <v>103.64855748445265</v>
      </c>
      <c r="D1022" s="9">
        <v>100</v>
      </c>
      <c r="E1022" s="9">
        <v>0.58394868529486665</v>
      </c>
      <c r="F1022" s="9">
        <v>3.0646087991577859</v>
      </c>
      <c r="G1022">
        <f t="shared" si="18"/>
        <v>1.9999999999999966E-2</v>
      </c>
    </row>
    <row r="1023" spans="2:7" x14ac:dyDescent="0.2">
      <c r="B1023" s="10">
        <v>973</v>
      </c>
      <c r="C1023" s="9">
        <v>111.55024412113738</v>
      </c>
      <c r="D1023" s="9">
        <v>100</v>
      </c>
      <c r="E1023" s="9">
        <v>3.349539008134522</v>
      </c>
      <c r="F1023" s="9">
        <v>8.2007051130028596</v>
      </c>
      <c r="G1023">
        <f t="shared" si="18"/>
        <v>1.9999999999999966E-2</v>
      </c>
    </row>
    <row r="1024" spans="2:7" x14ac:dyDescent="0.2">
      <c r="B1024" s="10">
        <v>974</v>
      </c>
      <c r="C1024" s="9">
        <v>114.63049385561858</v>
      </c>
      <c r="D1024" s="9">
        <v>100</v>
      </c>
      <c r="E1024" s="9">
        <v>4.4276264152029414</v>
      </c>
      <c r="F1024" s="9">
        <v>10.202867440415641</v>
      </c>
      <c r="G1024">
        <f t="shared" si="18"/>
        <v>1.9999999999999966E-2</v>
      </c>
    </row>
    <row r="1025" spans="2:7" x14ac:dyDescent="0.2">
      <c r="B1025" s="10">
        <v>975</v>
      </c>
      <c r="C1025" s="9">
        <v>135.91313980802323</v>
      </c>
      <c r="D1025" s="9">
        <v>100</v>
      </c>
      <c r="E1025" s="9">
        <v>11.876552498544569</v>
      </c>
      <c r="F1025" s="9">
        <v>24.036587309478662</v>
      </c>
      <c r="G1025">
        <f t="shared" si="18"/>
        <v>1.9999999999999966E-2</v>
      </c>
    </row>
    <row r="1026" spans="2:7" x14ac:dyDescent="0.2">
      <c r="B1026" s="10">
        <v>976</v>
      </c>
      <c r="C1026" s="9">
        <v>91.777305756845422</v>
      </c>
      <c r="D1026" s="9">
        <v>73.421844605476338</v>
      </c>
      <c r="E1026" s="9">
        <v>0</v>
      </c>
      <c r="F1026" s="9">
        <v>0</v>
      </c>
      <c r="G1026">
        <f t="shared" si="18"/>
        <v>-0.28894868421598768</v>
      </c>
    </row>
    <row r="1027" spans="2:7" x14ac:dyDescent="0.2">
      <c r="B1027" s="10">
        <v>977</v>
      </c>
      <c r="C1027" s="9">
        <v>89.540556218297411</v>
      </c>
      <c r="D1027" s="9">
        <v>71.632444974637934</v>
      </c>
      <c r="E1027" s="9">
        <v>0</v>
      </c>
      <c r="F1027" s="9">
        <v>0</v>
      </c>
      <c r="G1027">
        <f t="shared" si="18"/>
        <v>-0.31362207255548763</v>
      </c>
    </row>
    <row r="1028" spans="2:7" x14ac:dyDescent="0.2">
      <c r="B1028" s="10">
        <v>978</v>
      </c>
      <c r="C1028" s="9">
        <v>64.112560313796507</v>
      </c>
      <c r="D1028" s="9">
        <v>51.290048251037206</v>
      </c>
      <c r="E1028" s="9">
        <v>0</v>
      </c>
      <c r="F1028" s="9">
        <v>0</v>
      </c>
      <c r="G1028">
        <f t="shared" si="18"/>
        <v>-0.64767344383794756</v>
      </c>
    </row>
    <row r="1029" spans="2:7" x14ac:dyDescent="0.2">
      <c r="B1029" s="10">
        <v>979</v>
      </c>
      <c r="C1029" s="9">
        <v>89.591948676171512</v>
      </c>
      <c r="D1029" s="9">
        <v>71.673558940937212</v>
      </c>
      <c r="E1029" s="9">
        <v>0</v>
      </c>
      <c r="F1029" s="9">
        <v>0</v>
      </c>
      <c r="G1029">
        <f t="shared" si="18"/>
        <v>-0.31304827988380696</v>
      </c>
    </row>
    <row r="1030" spans="2:7" x14ac:dyDescent="0.2">
      <c r="B1030" s="10">
        <v>980</v>
      </c>
      <c r="C1030" s="9">
        <v>125.91200516346413</v>
      </c>
      <c r="D1030" s="9">
        <v>100</v>
      </c>
      <c r="E1030" s="9">
        <v>8.3761553729488831</v>
      </c>
      <c r="F1030" s="9">
        <v>17.535849790515247</v>
      </c>
      <c r="G1030">
        <f t="shared" si="18"/>
        <v>1.9999999999999966E-2</v>
      </c>
    </row>
    <row r="1031" spans="2:7" x14ac:dyDescent="0.2">
      <c r="B1031" s="10">
        <v>981</v>
      </c>
      <c r="C1031" s="9">
        <v>130.33351706280041</v>
      </c>
      <c r="D1031" s="9">
        <v>100</v>
      </c>
      <c r="E1031" s="9">
        <v>9.9236845377165821</v>
      </c>
      <c r="F1031" s="9">
        <v>20.409832525083829</v>
      </c>
      <c r="G1031">
        <f t="shared" si="18"/>
        <v>1.9999999999999966E-2</v>
      </c>
    </row>
    <row r="1032" spans="2:7" x14ac:dyDescent="0.2">
      <c r="B1032" s="10">
        <v>982</v>
      </c>
      <c r="C1032" s="9">
        <v>84.26724050154634</v>
      </c>
      <c r="D1032" s="9">
        <v>67.413792401237075</v>
      </c>
      <c r="E1032" s="9">
        <v>0</v>
      </c>
      <c r="F1032" s="9">
        <v>0</v>
      </c>
      <c r="G1032">
        <f t="shared" si="18"/>
        <v>-0.37432055397153158</v>
      </c>
    </row>
    <row r="1033" spans="2:7" x14ac:dyDescent="0.2">
      <c r="B1033" s="10">
        <v>983</v>
      </c>
      <c r="C1033" s="9">
        <v>126.2824951938083</v>
      </c>
      <c r="D1033" s="9">
        <v>100</v>
      </c>
      <c r="E1033" s="9">
        <v>8.5058268835693429</v>
      </c>
      <c r="F1033" s="9">
        <v>17.776668310238961</v>
      </c>
      <c r="G1033">
        <f t="shared" si="18"/>
        <v>1.9999999999999966E-2</v>
      </c>
    </row>
    <row r="1034" spans="2:7" x14ac:dyDescent="0.2">
      <c r="B1034" s="10">
        <v>984</v>
      </c>
      <c r="C1034" s="9">
        <v>101.41790379879279</v>
      </c>
      <c r="D1034" s="9">
        <v>100</v>
      </c>
      <c r="E1034" s="9">
        <v>-0.1967801046860842</v>
      </c>
      <c r="F1034" s="9">
        <v>1.6146839034788769</v>
      </c>
      <c r="G1034">
        <f t="shared" si="18"/>
        <v>1.9999999999999966E-2</v>
      </c>
    </row>
    <row r="1035" spans="2:7" x14ac:dyDescent="0.2">
      <c r="B1035" s="10">
        <v>985</v>
      </c>
      <c r="C1035" s="9">
        <v>89.705264643967851</v>
      </c>
      <c r="D1035" s="9">
        <v>71.764211715174284</v>
      </c>
      <c r="E1035" s="9">
        <v>0</v>
      </c>
      <c r="F1035" s="9">
        <v>0</v>
      </c>
      <c r="G1035">
        <f t="shared" si="18"/>
        <v>-0.31178427827680955</v>
      </c>
    </row>
    <row r="1036" spans="2:7" x14ac:dyDescent="0.2">
      <c r="B1036" s="10">
        <v>986</v>
      </c>
      <c r="C1036" s="9">
        <v>77.903275744909251</v>
      </c>
      <c r="D1036" s="9">
        <v>62.322620595927404</v>
      </c>
      <c r="E1036" s="9">
        <v>0</v>
      </c>
      <c r="F1036" s="9">
        <v>0</v>
      </c>
      <c r="G1036">
        <f t="shared" si="18"/>
        <v>-0.45284573466901834</v>
      </c>
    </row>
    <row r="1037" spans="2:7" x14ac:dyDescent="0.2">
      <c r="B1037" s="10">
        <v>987</v>
      </c>
      <c r="C1037" s="9">
        <v>105.41176386121529</v>
      </c>
      <c r="D1037" s="9">
        <v>100</v>
      </c>
      <c r="E1037" s="9">
        <v>1.2010709171617904</v>
      </c>
      <c r="F1037" s="9">
        <v>4.210692944053501</v>
      </c>
      <c r="G1037">
        <f t="shared" si="18"/>
        <v>1.9999999999999966E-2</v>
      </c>
    </row>
    <row r="1038" spans="2:7" x14ac:dyDescent="0.2">
      <c r="B1038" s="10">
        <v>988</v>
      </c>
      <c r="C1038" s="9">
        <v>137.84683746785981</v>
      </c>
      <c r="D1038" s="9">
        <v>100</v>
      </c>
      <c r="E1038" s="9">
        <v>12.553346679487372</v>
      </c>
      <c r="F1038" s="9">
        <v>25.293490788372441</v>
      </c>
      <c r="G1038">
        <f t="shared" si="18"/>
        <v>1.9999999999999966E-2</v>
      </c>
    </row>
    <row r="1039" spans="2:7" x14ac:dyDescent="0.2">
      <c r="B1039" s="10">
        <v>989</v>
      </c>
      <c r="C1039" s="9">
        <v>111.40199983381724</v>
      </c>
      <c r="D1039" s="9">
        <v>100</v>
      </c>
      <c r="E1039" s="9">
        <v>3.2976535075724733</v>
      </c>
      <c r="F1039" s="9">
        <v>8.1043463262447695</v>
      </c>
      <c r="G1039">
        <f t="shared" si="18"/>
        <v>1.9999999999999966E-2</v>
      </c>
    </row>
    <row r="1040" spans="2:7" x14ac:dyDescent="0.2">
      <c r="B1040" s="10">
        <v>990</v>
      </c>
      <c r="C1040" s="9">
        <v>132.54546691524115</v>
      </c>
      <c r="D1040" s="9">
        <v>100</v>
      </c>
      <c r="E1040" s="9">
        <v>10.69786698607084</v>
      </c>
      <c r="F1040" s="9">
        <v>21.847599929170308</v>
      </c>
      <c r="G1040">
        <f t="shared" si="18"/>
        <v>1.9999999999999966E-2</v>
      </c>
    </row>
    <row r="1041" spans="2:7" x14ac:dyDescent="0.2">
      <c r="B1041" s="10">
        <v>991</v>
      </c>
      <c r="C1041" s="9">
        <v>81.702699725756574</v>
      </c>
      <c r="D1041" s="9">
        <v>65.362159780605253</v>
      </c>
      <c r="E1041" s="9">
        <v>0</v>
      </c>
      <c r="F1041" s="9">
        <v>0</v>
      </c>
      <c r="G1041">
        <f t="shared" si="18"/>
        <v>-0.40522669160339209</v>
      </c>
    </row>
    <row r="1042" spans="2:7" x14ac:dyDescent="0.2">
      <c r="B1042" s="10">
        <v>992</v>
      </c>
      <c r="C1042" s="9">
        <v>139.92725674487684</v>
      </c>
      <c r="D1042" s="9">
        <v>100</v>
      </c>
      <c r="E1042" s="9">
        <v>13.281493426443333</v>
      </c>
      <c r="F1042" s="9">
        <v>26.645763318433509</v>
      </c>
      <c r="G1042">
        <f t="shared" si="18"/>
        <v>1.9999999999999966E-2</v>
      </c>
    </row>
    <row r="1043" spans="2:7" x14ac:dyDescent="0.2">
      <c r="B1043" s="10">
        <v>993</v>
      </c>
      <c r="C1043" s="9">
        <v>100.17583791220541</v>
      </c>
      <c r="D1043" s="9">
        <v>100</v>
      </c>
      <c r="E1043" s="9">
        <v>-0.63150316499166825</v>
      </c>
      <c r="F1043" s="9">
        <v>0.80734107719707771</v>
      </c>
      <c r="G1043">
        <f t="shared" si="18"/>
        <v>1.9999999999999966E-2</v>
      </c>
    </row>
    <row r="1044" spans="2:7" x14ac:dyDescent="0.2">
      <c r="B1044" s="10">
        <v>994</v>
      </c>
      <c r="C1044" s="9">
        <v>93.368650441467551</v>
      </c>
      <c r="D1044" s="9">
        <v>74.694920353174041</v>
      </c>
      <c r="E1044" s="9">
        <v>0</v>
      </c>
      <c r="F1044" s="9">
        <v>0</v>
      </c>
      <c r="G1044">
        <f t="shared" si="18"/>
        <v>-0.27175809678832086</v>
      </c>
    </row>
    <row r="1045" spans="2:7" x14ac:dyDescent="0.2">
      <c r="B1045" s="10">
        <v>995</v>
      </c>
      <c r="C1045" s="9">
        <v>66.693033562399847</v>
      </c>
      <c r="D1045" s="9">
        <v>53.354426849919875</v>
      </c>
      <c r="E1045" s="9">
        <v>0</v>
      </c>
      <c r="F1045" s="9">
        <v>0</v>
      </c>
      <c r="G1045">
        <f t="shared" si="18"/>
        <v>-0.6082132341772446</v>
      </c>
    </row>
    <row r="1046" spans="2:7" x14ac:dyDescent="0.2">
      <c r="B1046" s="10">
        <v>996</v>
      </c>
      <c r="C1046" s="9">
        <v>78.992970065963704</v>
      </c>
      <c r="D1046" s="9">
        <v>63.194376052770963</v>
      </c>
      <c r="E1046" s="9">
        <v>0</v>
      </c>
      <c r="F1046" s="9">
        <v>0</v>
      </c>
      <c r="G1046">
        <f t="shared" si="18"/>
        <v>-0.43895487530160238</v>
      </c>
    </row>
    <row r="1047" spans="2:7" x14ac:dyDescent="0.2">
      <c r="B1047" s="10">
        <v>997</v>
      </c>
      <c r="C1047" s="9">
        <v>122.79852630993879</v>
      </c>
      <c r="D1047" s="9">
        <v>100</v>
      </c>
      <c r="E1047" s="9">
        <v>7.2864377742150159</v>
      </c>
      <c r="F1047" s="9">
        <v>15.512088535723777</v>
      </c>
      <c r="G1047">
        <f t="shared" si="18"/>
        <v>1.9999999999999966E-2</v>
      </c>
    </row>
    <row r="1048" spans="2:7" x14ac:dyDescent="0.2">
      <c r="B1048" s="10">
        <v>998</v>
      </c>
      <c r="C1048" s="9">
        <v>66.728046898309856</v>
      </c>
      <c r="D1048" s="9">
        <v>53.382437518647883</v>
      </c>
      <c r="E1048" s="9">
        <v>0</v>
      </c>
      <c r="F1048" s="9">
        <v>0</v>
      </c>
      <c r="G1048">
        <f t="shared" si="18"/>
        <v>-0.60768837953519139</v>
      </c>
    </row>
    <row r="1049" spans="2:7" x14ac:dyDescent="0.2">
      <c r="B1049" s="19">
        <v>999</v>
      </c>
      <c r="C1049" s="6">
        <v>135.61427841629265</v>
      </c>
      <c r="D1049" s="6">
        <v>100</v>
      </c>
      <c r="E1049" s="6">
        <v>11.771951011438865</v>
      </c>
      <c r="F1049" s="6">
        <v>23.842327404853783</v>
      </c>
      <c r="G1049">
        <f t="shared" si="18"/>
        <v>1.9999999999999966E-2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Simulation">
                <anchor moveWithCells="1" sizeWithCells="1">
                  <from>
                    <xdr:col>9</xdr:col>
                    <xdr:colOff>774700</xdr:colOff>
                    <xdr:row>0</xdr:row>
                    <xdr:rowOff>114300</xdr:rowOff>
                  </from>
                  <to>
                    <xdr:col>10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4C0F2-F3A1-4640-9226-87B241FF6228}">
  <sheetPr codeName="Sheet2"/>
  <dimension ref="A1:B1001"/>
  <sheetViews>
    <sheetView workbookViewId="0">
      <selection activeCell="A2" sqref="A2:A1001"/>
    </sheetView>
  </sheetViews>
  <sheetFormatPr baseColWidth="10" defaultRowHeight="16" x14ac:dyDescent="0.2"/>
  <sheetData>
    <row r="1" spans="1:2" x14ac:dyDescent="0.2">
      <c r="A1" t="s">
        <v>8</v>
      </c>
      <c r="B1" t="s">
        <v>5</v>
      </c>
    </row>
    <row r="2" spans="1:2" x14ac:dyDescent="0.2">
      <c r="A2" s="3">
        <v>1</v>
      </c>
      <c r="B2" s="2">
        <v>0.45441613384923196</v>
      </c>
    </row>
    <row r="3" spans="1:2" x14ac:dyDescent="0.2">
      <c r="A3" s="3">
        <v>2</v>
      </c>
      <c r="B3" s="2">
        <v>0.73383698752988447</v>
      </c>
    </row>
    <row r="4" spans="1:2" x14ac:dyDescent="0.2">
      <c r="A4" s="3">
        <v>3</v>
      </c>
      <c r="B4" s="2">
        <v>0.42796229333006347</v>
      </c>
    </row>
    <row r="5" spans="1:2" x14ac:dyDescent="0.2">
      <c r="A5" s="3">
        <v>4</v>
      </c>
      <c r="B5" s="2">
        <v>0.90784060287925716</v>
      </c>
    </row>
    <row r="6" spans="1:2" x14ac:dyDescent="0.2">
      <c r="A6" s="3">
        <v>5</v>
      </c>
      <c r="B6" s="2">
        <v>0.17765881034366302</v>
      </c>
    </row>
    <row r="7" spans="1:2" x14ac:dyDescent="0.2">
      <c r="A7" s="3">
        <v>6</v>
      </c>
      <c r="B7" s="2">
        <v>0.27713343506328358</v>
      </c>
    </row>
    <row r="8" spans="1:2" x14ac:dyDescent="0.2">
      <c r="A8" s="3">
        <v>7</v>
      </c>
      <c r="B8" s="2">
        <v>0.46380957845722925</v>
      </c>
    </row>
    <row r="9" spans="1:2" x14ac:dyDescent="0.2">
      <c r="A9" s="3">
        <v>8</v>
      </c>
      <c r="B9" s="2">
        <v>0.26188954789648755</v>
      </c>
    </row>
    <row r="10" spans="1:2" x14ac:dyDescent="0.2">
      <c r="A10" s="3">
        <v>9</v>
      </c>
      <c r="B10" s="2">
        <v>0.17957305272233176</v>
      </c>
    </row>
    <row r="11" spans="1:2" x14ac:dyDescent="0.2">
      <c r="A11" s="3">
        <v>10</v>
      </c>
      <c r="B11" s="2">
        <v>0.56320725897243018</v>
      </c>
    </row>
    <row r="12" spans="1:2" x14ac:dyDescent="0.2">
      <c r="A12" s="3">
        <v>11</v>
      </c>
      <c r="B12" s="2">
        <v>9.8320585007104236E-2</v>
      </c>
    </row>
    <row r="13" spans="1:2" x14ac:dyDescent="0.2">
      <c r="A13" s="3">
        <v>12</v>
      </c>
      <c r="B13" s="2">
        <v>0.93183801906697117</v>
      </c>
    </row>
    <row r="14" spans="1:2" x14ac:dyDescent="0.2">
      <c r="A14" s="3">
        <v>13</v>
      </c>
      <c r="B14" s="2">
        <v>0.30582865222895894</v>
      </c>
    </row>
    <row r="15" spans="1:2" x14ac:dyDescent="0.2">
      <c r="A15" s="3">
        <v>14</v>
      </c>
      <c r="B15" s="2">
        <v>0.80822324350317143</v>
      </c>
    </row>
    <row r="16" spans="1:2" x14ac:dyDescent="0.2">
      <c r="A16" s="3">
        <v>15</v>
      </c>
      <c r="B16" s="2">
        <v>0.24188797899269715</v>
      </c>
    </row>
    <row r="17" spans="1:2" x14ac:dyDescent="0.2">
      <c r="A17" s="3">
        <v>16</v>
      </c>
      <c r="B17" s="2">
        <v>0.3819939760929752</v>
      </c>
    </row>
    <row r="18" spans="1:2" x14ac:dyDescent="0.2">
      <c r="A18" s="3">
        <v>17</v>
      </c>
      <c r="B18" s="2">
        <v>0.15429559935338769</v>
      </c>
    </row>
    <row r="19" spans="1:2" x14ac:dyDescent="0.2">
      <c r="A19" s="3">
        <v>18</v>
      </c>
      <c r="B19" s="2">
        <v>0.75863889548472041</v>
      </c>
    </row>
    <row r="20" spans="1:2" x14ac:dyDescent="0.2">
      <c r="A20" s="3">
        <v>19</v>
      </c>
      <c r="B20" s="2">
        <v>0.6903899614976321</v>
      </c>
    </row>
    <row r="21" spans="1:2" x14ac:dyDescent="0.2">
      <c r="A21" s="3">
        <v>20</v>
      </c>
      <c r="B21" s="2">
        <v>0.10236047414228848</v>
      </c>
    </row>
    <row r="22" spans="1:2" x14ac:dyDescent="0.2">
      <c r="A22" s="3">
        <v>21</v>
      </c>
      <c r="B22" s="2">
        <v>0.82116765718658347</v>
      </c>
    </row>
    <row r="23" spans="1:2" x14ac:dyDescent="0.2">
      <c r="A23" s="3">
        <v>22</v>
      </c>
      <c r="B23" s="2">
        <v>0.52778770720032653</v>
      </c>
    </row>
    <row r="24" spans="1:2" x14ac:dyDescent="0.2">
      <c r="A24" s="3">
        <v>23</v>
      </c>
      <c r="B24" s="2">
        <v>0.80601013717608927</v>
      </c>
    </row>
    <row r="25" spans="1:2" x14ac:dyDescent="0.2">
      <c r="A25" s="3">
        <v>24</v>
      </c>
      <c r="B25" s="2">
        <v>0.89261918118583972</v>
      </c>
    </row>
    <row r="26" spans="1:2" x14ac:dyDescent="0.2">
      <c r="A26" s="3">
        <v>25</v>
      </c>
      <c r="B26" s="2">
        <v>0.25550750907183151</v>
      </c>
    </row>
    <row r="27" spans="1:2" x14ac:dyDescent="0.2">
      <c r="A27" s="3">
        <v>26</v>
      </c>
      <c r="B27" s="2">
        <v>5.1665068776312766E-2</v>
      </c>
    </row>
    <row r="28" spans="1:2" x14ac:dyDescent="0.2">
      <c r="A28" s="3">
        <v>27</v>
      </c>
      <c r="B28" s="2">
        <v>0.66228225741079905</v>
      </c>
    </row>
    <row r="29" spans="1:2" x14ac:dyDescent="0.2">
      <c r="A29" s="3">
        <v>28</v>
      </c>
      <c r="B29" s="2">
        <v>0.62556971564788011</v>
      </c>
    </row>
    <row r="30" spans="1:2" x14ac:dyDescent="0.2">
      <c r="A30" s="3">
        <v>29</v>
      </c>
      <c r="B30" s="2">
        <v>0.84404220295938115</v>
      </c>
    </row>
    <row r="31" spans="1:2" x14ac:dyDescent="0.2">
      <c r="A31" s="3">
        <v>30</v>
      </c>
      <c r="B31" s="2">
        <v>0.94648008265027161</v>
      </c>
    </row>
    <row r="32" spans="1:2" x14ac:dyDescent="0.2">
      <c r="A32" s="3">
        <v>31</v>
      </c>
      <c r="B32" s="2">
        <v>3.2441847773375658E-2</v>
      </c>
    </row>
    <row r="33" spans="1:2" x14ac:dyDescent="0.2">
      <c r="A33" s="3">
        <v>32</v>
      </c>
      <c r="B33" s="2">
        <v>0.51215485387378668</v>
      </c>
    </row>
    <row r="34" spans="1:2" x14ac:dyDescent="0.2">
      <c r="A34" s="3">
        <v>33</v>
      </c>
      <c r="B34" s="2">
        <v>0.90536203604019716</v>
      </c>
    </row>
    <row r="35" spans="1:2" x14ac:dyDescent="0.2">
      <c r="A35" s="3">
        <v>34</v>
      </c>
      <c r="B35" s="2">
        <v>0.36133674608459077</v>
      </c>
    </row>
    <row r="36" spans="1:2" x14ac:dyDescent="0.2">
      <c r="A36" s="3">
        <v>35</v>
      </c>
      <c r="B36" s="2">
        <v>0.66978808972780057</v>
      </c>
    </row>
    <row r="37" spans="1:2" x14ac:dyDescent="0.2">
      <c r="A37" s="3">
        <v>36</v>
      </c>
      <c r="B37" s="2">
        <v>8.5020927294448517E-2</v>
      </c>
    </row>
    <row r="38" spans="1:2" x14ac:dyDescent="0.2">
      <c r="A38" s="3">
        <v>37</v>
      </c>
      <c r="B38" s="2">
        <v>0.15180458634986391</v>
      </c>
    </row>
    <row r="39" spans="1:2" x14ac:dyDescent="0.2">
      <c r="A39" s="3">
        <v>38</v>
      </c>
      <c r="B39" s="2">
        <v>0.37311673292266079</v>
      </c>
    </row>
    <row r="40" spans="1:2" x14ac:dyDescent="0.2">
      <c r="A40" s="3">
        <v>39</v>
      </c>
      <c r="B40" s="2">
        <v>0.7102724614609669</v>
      </c>
    </row>
    <row r="41" spans="1:2" x14ac:dyDescent="0.2">
      <c r="A41" s="3">
        <v>40</v>
      </c>
      <c r="B41" s="2">
        <v>0.22610077722373886</v>
      </c>
    </row>
    <row r="42" spans="1:2" x14ac:dyDescent="0.2">
      <c r="A42" s="3">
        <v>41</v>
      </c>
      <c r="B42" s="2">
        <v>0.71683951935164869</v>
      </c>
    </row>
    <row r="43" spans="1:2" x14ac:dyDescent="0.2">
      <c r="A43" s="3">
        <v>42</v>
      </c>
      <c r="B43" s="2">
        <v>0.85248117491386477</v>
      </c>
    </row>
    <row r="44" spans="1:2" x14ac:dyDescent="0.2">
      <c r="A44" s="3">
        <v>43</v>
      </c>
      <c r="B44" s="2">
        <v>0.42491279086976924</v>
      </c>
    </row>
    <row r="45" spans="1:2" x14ac:dyDescent="0.2">
      <c r="A45" s="3">
        <v>44</v>
      </c>
      <c r="B45" s="2">
        <v>0.32108760065807573</v>
      </c>
    </row>
    <row r="46" spans="1:2" x14ac:dyDescent="0.2">
      <c r="A46" s="3">
        <v>45</v>
      </c>
      <c r="B46" s="2">
        <v>2.2589347622605439E-2</v>
      </c>
    </row>
    <row r="47" spans="1:2" x14ac:dyDescent="0.2">
      <c r="A47" s="3">
        <v>46</v>
      </c>
      <c r="B47" s="2">
        <v>0.28352315345592161</v>
      </c>
    </row>
    <row r="48" spans="1:2" x14ac:dyDescent="0.2">
      <c r="A48" s="3">
        <v>47</v>
      </c>
      <c r="B48" s="2">
        <v>0.64743740297598795</v>
      </c>
    </row>
    <row r="49" spans="1:2" x14ac:dyDescent="0.2">
      <c r="A49" s="3">
        <v>48</v>
      </c>
      <c r="B49" s="2">
        <v>0.72086644885820972</v>
      </c>
    </row>
    <row r="50" spans="1:2" x14ac:dyDescent="0.2">
      <c r="A50" s="3">
        <v>49</v>
      </c>
      <c r="B50" s="2">
        <v>8.7396421140220421E-2</v>
      </c>
    </row>
    <row r="51" spans="1:2" x14ac:dyDescent="0.2">
      <c r="A51" s="3">
        <v>50</v>
      </c>
      <c r="B51" s="2">
        <v>0.8359170391684192</v>
      </c>
    </row>
    <row r="52" spans="1:2" x14ac:dyDescent="0.2">
      <c r="A52" s="3">
        <v>51</v>
      </c>
      <c r="B52" s="2">
        <v>0.91514074070869433</v>
      </c>
    </row>
    <row r="53" spans="1:2" x14ac:dyDescent="0.2">
      <c r="A53" s="3">
        <v>52</v>
      </c>
      <c r="B53" s="2">
        <v>0.88239940520574645</v>
      </c>
    </row>
    <row r="54" spans="1:2" x14ac:dyDescent="0.2">
      <c r="A54" s="3">
        <v>53</v>
      </c>
      <c r="B54" s="2">
        <v>5.4775902791234163E-2</v>
      </c>
    </row>
    <row r="55" spans="1:2" x14ac:dyDescent="0.2">
      <c r="A55" s="3">
        <v>54</v>
      </c>
      <c r="B55" s="2">
        <v>0.40593063050080458</v>
      </c>
    </row>
    <row r="56" spans="1:2" x14ac:dyDescent="0.2">
      <c r="A56" s="3">
        <v>55</v>
      </c>
      <c r="B56" s="2">
        <v>0.34722934203472322</v>
      </c>
    </row>
    <row r="57" spans="1:2" x14ac:dyDescent="0.2">
      <c r="A57" s="3">
        <v>56</v>
      </c>
      <c r="B57" s="2">
        <v>0.70691899423159987</v>
      </c>
    </row>
    <row r="58" spans="1:2" x14ac:dyDescent="0.2">
      <c r="A58" s="3">
        <v>57</v>
      </c>
      <c r="B58" s="2">
        <v>0.84550251210390781</v>
      </c>
    </row>
    <row r="59" spans="1:2" x14ac:dyDescent="0.2">
      <c r="A59" s="3">
        <v>58</v>
      </c>
      <c r="B59" s="2">
        <v>0.13623764879413838</v>
      </c>
    </row>
    <row r="60" spans="1:2" x14ac:dyDescent="0.2">
      <c r="A60" s="3">
        <v>59</v>
      </c>
      <c r="B60" s="2">
        <v>0.39102101406363621</v>
      </c>
    </row>
    <row r="61" spans="1:2" x14ac:dyDescent="0.2">
      <c r="A61" s="3">
        <v>60</v>
      </c>
      <c r="B61" s="2">
        <v>0.20380128320022792</v>
      </c>
    </row>
    <row r="62" spans="1:2" x14ac:dyDescent="0.2">
      <c r="A62" s="3">
        <v>61</v>
      </c>
      <c r="B62" s="2">
        <v>0.4358309015086424</v>
      </c>
    </row>
    <row r="63" spans="1:2" x14ac:dyDescent="0.2">
      <c r="A63" s="3">
        <v>62</v>
      </c>
      <c r="B63" s="2">
        <v>0.28907582855657987</v>
      </c>
    </row>
    <row r="64" spans="1:2" x14ac:dyDescent="0.2">
      <c r="A64" s="3">
        <v>63</v>
      </c>
      <c r="B64" s="2">
        <v>0.57718902721654719</v>
      </c>
    </row>
    <row r="65" spans="1:2" x14ac:dyDescent="0.2">
      <c r="A65" s="3">
        <v>64</v>
      </c>
      <c r="B65" s="2">
        <v>0.54244212834057226</v>
      </c>
    </row>
    <row r="66" spans="1:2" x14ac:dyDescent="0.2">
      <c r="A66" s="3">
        <v>65</v>
      </c>
      <c r="B66" s="2">
        <v>0.50485192458354122</v>
      </c>
    </row>
    <row r="67" spans="1:2" x14ac:dyDescent="0.2">
      <c r="A67" s="3">
        <v>66</v>
      </c>
      <c r="B67" s="2">
        <v>0.50061408529247409</v>
      </c>
    </row>
    <row r="68" spans="1:2" x14ac:dyDescent="0.2">
      <c r="A68" s="3">
        <v>67</v>
      </c>
      <c r="B68" s="2">
        <v>0.92659163547674606</v>
      </c>
    </row>
    <row r="69" spans="1:2" x14ac:dyDescent="0.2">
      <c r="A69" s="3">
        <v>68</v>
      </c>
      <c r="B69" s="2">
        <v>0.99887612463638453</v>
      </c>
    </row>
    <row r="70" spans="1:2" x14ac:dyDescent="0.2">
      <c r="A70" s="3">
        <v>69</v>
      </c>
      <c r="B70" s="2">
        <v>0.46593621754498865</v>
      </c>
    </row>
    <row r="71" spans="1:2" x14ac:dyDescent="0.2">
      <c r="A71" s="3">
        <v>70</v>
      </c>
      <c r="B71" s="2">
        <v>0.5384605781291858</v>
      </c>
    </row>
    <row r="72" spans="1:2" x14ac:dyDescent="0.2">
      <c r="A72" s="3">
        <v>71</v>
      </c>
      <c r="B72" s="2">
        <v>0.68235034885660539</v>
      </c>
    </row>
    <row r="73" spans="1:2" x14ac:dyDescent="0.2">
      <c r="A73" s="3">
        <v>72</v>
      </c>
      <c r="B73" s="2">
        <v>0.68827746047755101</v>
      </c>
    </row>
    <row r="74" spans="1:2" x14ac:dyDescent="0.2">
      <c r="A74" s="3">
        <v>73</v>
      </c>
      <c r="B74" s="2">
        <v>0.76955115859542977</v>
      </c>
    </row>
    <row r="75" spans="1:2" x14ac:dyDescent="0.2">
      <c r="A75" s="3">
        <v>74</v>
      </c>
      <c r="B75" s="2">
        <v>0.58346363383396738</v>
      </c>
    </row>
    <row r="76" spans="1:2" x14ac:dyDescent="0.2">
      <c r="A76" s="3">
        <v>75</v>
      </c>
      <c r="B76" s="2">
        <v>0.37059432305869189</v>
      </c>
    </row>
    <row r="77" spans="1:2" x14ac:dyDescent="0.2">
      <c r="A77" s="3">
        <v>76</v>
      </c>
      <c r="B77" s="2">
        <v>0.74533074696389279</v>
      </c>
    </row>
    <row r="78" spans="1:2" x14ac:dyDescent="0.2">
      <c r="A78" s="3">
        <v>77</v>
      </c>
      <c r="B78" s="2">
        <v>0.25947179904520068</v>
      </c>
    </row>
    <row r="79" spans="1:2" x14ac:dyDescent="0.2">
      <c r="A79" s="3">
        <v>78</v>
      </c>
      <c r="B79" s="2">
        <v>0.1219581885136803</v>
      </c>
    </row>
    <row r="80" spans="1:2" x14ac:dyDescent="0.2">
      <c r="A80" s="3">
        <v>79</v>
      </c>
      <c r="B80" s="2">
        <v>0.91327109554360009</v>
      </c>
    </row>
    <row r="81" spans="1:2" x14ac:dyDescent="0.2">
      <c r="A81" s="3">
        <v>80</v>
      </c>
      <c r="B81" s="2">
        <v>0.53667104792863962</v>
      </c>
    </row>
    <row r="82" spans="1:2" x14ac:dyDescent="0.2">
      <c r="A82" s="3">
        <v>81</v>
      </c>
      <c r="B82" s="2">
        <v>0.56728288808851202</v>
      </c>
    </row>
    <row r="83" spans="1:2" x14ac:dyDescent="0.2">
      <c r="A83" s="3">
        <v>82</v>
      </c>
      <c r="B83" s="2">
        <v>0.21797834466465482</v>
      </c>
    </row>
    <row r="84" spans="1:2" x14ac:dyDescent="0.2">
      <c r="A84" s="3">
        <v>83</v>
      </c>
      <c r="B84" s="2">
        <v>0.75499156277495316</v>
      </c>
    </row>
    <row r="85" spans="1:2" x14ac:dyDescent="0.2">
      <c r="A85" s="3">
        <v>84</v>
      </c>
      <c r="B85" s="2">
        <v>0.273445673083834</v>
      </c>
    </row>
    <row r="86" spans="1:2" x14ac:dyDescent="0.2">
      <c r="A86" s="3">
        <v>85</v>
      </c>
      <c r="B86" s="2">
        <v>0.54510721157260589</v>
      </c>
    </row>
    <row r="87" spans="1:2" x14ac:dyDescent="0.2">
      <c r="A87" s="3">
        <v>86</v>
      </c>
      <c r="B87" s="2">
        <v>0.8772952987333138</v>
      </c>
    </row>
    <row r="88" spans="1:2" x14ac:dyDescent="0.2">
      <c r="A88" s="3">
        <v>87</v>
      </c>
      <c r="B88" s="2">
        <v>0.63383995939232229</v>
      </c>
    </row>
    <row r="89" spans="1:2" x14ac:dyDescent="0.2">
      <c r="A89" s="3">
        <v>88</v>
      </c>
      <c r="B89" s="2">
        <v>5.2802133334397504E-2</v>
      </c>
    </row>
    <row r="90" spans="1:2" x14ac:dyDescent="0.2">
      <c r="A90" s="3">
        <v>89</v>
      </c>
      <c r="B90" s="2">
        <v>0.24354249871020911</v>
      </c>
    </row>
    <row r="91" spans="1:2" x14ac:dyDescent="0.2">
      <c r="A91" s="3">
        <v>90</v>
      </c>
      <c r="B91" s="2">
        <v>0.11194448014072979</v>
      </c>
    </row>
    <row r="92" spans="1:2" x14ac:dyDescent="0.2">
      <c r="A92" s="3">
        <v>91</v>
      </c>
      <c r="B92" s="2">
        <v>0.5365715837017131</v>
      </c>
    </row>
    <row r="93" spans="1:2" x14ac:dyDescent="0.2">
      <c r="A93" s="3">
        <v>92</v>
      </c>
      <c r="B93" s="2">
        <v>5.0320331355726458E-2</v>
      </c>
    </row>
    <row r="94" spans="1:2" x14ac:dyDescent="0.2">
      <c r="A94" s="3">
        <v>93</v>
      </c>
      <c r="B94" s="2">
        <v>7.9800144647149643E-2</v>
      </c>
    </row>
    <row r="95" spans="1:2" x14ac:dyDescent="0.2">
      <c r="A95" s="3">
        <v>94</v>
      </c>
      <c r="B95" s="2">
        <v>0.46695956663881683</v>
      </c>
    </row>
    <row r="96" spans="1:2" x14ac:dyDescent="0.2">
      <c r="A96" s="3">
        <v>95</v>
      </c>
      <c r="B96" s="2">
        <v>0.25319048607361871</v>
      </c>
    </row>
    <row r="97" spans="1:2" x14ac:dyDescent="0.2">
      <c r="A97" s="3">
        <v>96</v>
      </c>
      <c r="B97" s="2">
        <v>8.8961923302756846E-2</v>
      </c>
    </row>
    <row r="98" spans="1:2" x14ac:dyDescent="0.2">
      <c r="A98" s="3">
        <v>97</v>
      </c>
      <c r="B98" s="2">
        <v>0.23319478090067619</v>
      </c>
    </row>
    <row r="99" spans="1:2" x14ac:dyDescent="0.2">
      <c r="A99" s="3">
        <v>98</v>
      </c>
      <c r="B99" s="2">
        <v>0.17768998466574568</v>
      </c>
    </row>
    <row r="100" spans="1:2" x14ac:dyDescent="0.2">
      <c r="A100" s="3">
        <v>99</v>
      </c>
      <c r="B100" s="2">
        <v>3.3322842047311958E-2</v>
      </c>
    </row>
    <row r="101" spans="1:2" x14ac:dyDescent="0.2">
      <c r="A101" s="3">
        <v>100</v>
      </c>
      <c r="B101" s="2">
        <v>0.93750042981851278</v>
      </c>
    </row>
    <row r="102" spans="1:2" x14ac:dyDescent="0.2">
      <c r="A102" s="3">
        <v>101</v>
      </c>
      <c r="B102" s="2">
        <v>0.67400510770888222</v>
      </c>
    </row>
    <row r="103" spans="1:2" x14ac:dyDescent="0.2">
      <c r="A103" s="3">
        <v>102</v>
      </c>
      <c r="B103" s="2">
        <v>4.8153879795733413E-2</v>
      </c>
    </row>
    <row r="104" spans="1:2" x14ac:dyDescent="0.2">
      <c r="A104" s="3">
        <v>103</v>
      </c>
      <c r="B104" s="2">
        <v>0.41724344471411273</v>
      </c>
    </row>
    <row r="105" spans="1:2" x14ac:dyDescent="0.2">
      <c r="A105" s="3">
        <v>104</v>
      </c>
      <c r="B105" s="2">
        <v>0.31556494927858325</v>
      </c>
    </row>
    <row r="106" spans="1:2" x14ac:dyDescent="0.2">
      <c r="A106" s="3">
        <v>105</v>
      </c>
      <c r="B106" s="2">
        <v>0.39697603791164265</v>
      </c>
    </row>
    <row r="107" spans="1:2" x14ac:dyDescent="0.2">
      <c r="A107" s="3">
        <v>106</v>
      </c>
      <c r="B107" s="2">
        <v>0.67609708922471479</v>
      </c>
    </row>
    <row r="108" spans="1:2" x14ac:dyDescent="0.2">
      <c r="A108" s="3">
        <v>107</v>
      </c>
      <c r="B108" s="2">
        <v>2.6632203760712066E-2</v>
      </c>
    </row>
    <row r="109" spans="1:2" x14ac:dyDescent="0.2">
      <c r="A109" s="3">
        <v>108</v>
      </c>
      <c r="B109" s="2">
        <v>0.99265492604179051</v>
      </c>
    </row>
    <row r="110" spans="1:2" x14ac:dyDescent="0.2">
      <c r="A110" s="3">
        <v>109</v>
      </c>
      <c r="B110" s="2">
        <v>0.32156386063250497</v>
      </c>
    </row>
    <row r="111" spans="1:2" x14ac:dyDescent="0.2">
      <c r="A111" s="3">
        <v>110</v>
      </c>
      <c r="B111" s="2">
        <v>0.44380551250676992</v>
      </c>
    </row>
    <row r="112" spans="1:2" x14ac:dyDescent="0.2">
      <c r="A112" s="3">
        <v>111</v>
      </c>
      <c r="B112" s="2">
        <v>0.93745429163593541</v>
      </c>
    </row>
    <row r="113" spans="1:2" x14ac:dyDescent="0.2">
      <c r="A113" s="3">
        <v>112</v>
      </c>
      <c r="B113" s="2">
        <v>0.14607280799037459</v>
      </c>
    </row>
    <row r="114" spans="1:2" x14ac:dyDescent="0.2">
      <c r="A114" s="3">
        <v>113</v>
      </c>
      <c r="B114" s="2">
        <v>0.31570754310588722</v>
      </c>
    </row>
    <row r="115" spans="1:2" x14ac:dyDescent="0.2">
      <c r="A115" s="3">
        <v>114</v>
      </c>
      <c r="B115" s="2">
        <v>0.79054140004289108</v>
      </c>
    </row>
    <row r="116" spans="1:2" x14ac:dyDescent="0.2">
      <c r="A116" s="3">
        <v>115</v>
      </c>
      <c r="B116" s="2">
        <v>0.56820796997497502</v>
      </c>
    </row>
    <row r="117" spans="1:2" x14ac:dyDescent="0.2">
      <c r="A117" s="3">
        <v>116</v>
      </c>
      <c r="B117" s="2">
        <v>0.15940553971300919</v>
      </c>
    </row>
    <row r="118" spans="1:2" x14ac:dyDescent="0.2">
      <c r="A118" s="3">
        <v>117</v>
      </c>
      <c r="B118" s="2">
        <v>0.79208624402709438</v>
      </c>
    </row>
    <row r="119" spans="1:2" x14ac:dyDescent="0.2">
      <c r="A119" s="3">
        <v>118</v>
      </c>
      <c r="B119" s="2">
        <v>0.66675079587694397</v>
      </c>
    </row>
    <row r="120" spans="1:2" x14ac:dyDescent="0.2">
      <c r="A120" s="3">
        <v>119</v>
      </c>
      <c r="B120" s="2">
        <v>0.6821860343491335</v>
      </c>
    </row>
    <row r="121" spans="1:2" x14ac:dyDescent="0.2">
      <c r="A121" s="3">
        <v>120</v>
      </c>
      <c r="B121" s="2">
        <v>0.2599320556684207</v>
      </c>
    </row>
    <row r="122" spans="1:2" x14ac:dyDescent="0.2">
      <c r="A122" s="3">
        <v>121</v>
      </c>
      <c r="B122" s="2">
        <v>0.50381659447654159</v>
      </c>
    </row>
    <row r="123" spans="1:2" x14ac:dyDescent="0.2">
      <c r="A123" s="3">
        <v>122</v>
      </c>
      <c r="B123" s="2">
        <v>0.25843054186857528</v>
      </c>
    </row>
    <row r="124" spans="1:2" x14ac:dyDescent="0.2">
      <c r="A124" s="3">
        <v>123</v>
      </c>
      <c r="B124" s="2">
        <v>0.58329974274801</v>
      </c>
    </row>
    <row r="125" spans="1:2" x14ac:dyDescent="0.2">
      <c r="A125" s="3">
        <v>124</v>
      </c>
      <c r="B125" s="2">
        <v>0.85733410490903739</v>
      </c>
    </row>
    <row r="126" spans="1:2" x14ac:dyDescent="0.2">
      <c r="A126" s="3">
        <v>125</v>
      </c>
      <c r="B126" s="2">
        <v>0.41112008963521179</v>
      </c>
    </row>
    <row r="127" spans="1:2" x14ac:dyDescent="0.2">
      <c r="A127" s="3">
        <v>126</v>
      </c>
      <c r="B127" s="2">
        <v>0.87098972781004469</v>
      </c>
    </row>
    <row r="128" spans="1:2" x14ac:dyDescent="0.2">
      <c r="A128" s="3">
        <v>127</v>
      </c>
      <c r="B128" s="2">
        <v>0.2068303537193667</v>
      </c>
    </row>
    <row r="129" spans="1:2" x14ac:dyDescent="0.2">
      <c r="A129" s="3">
        <v>128</v>
      </c>
      <c r="B129" s="2">
        <v>0.59784823794225339</v>
      </c>
    </row>
    <row r="130" spans="1:2" x14ac:dyDescent="0.2">
      <c r="A130" s="3">
        <v>129</v>
      </c>
      <c r="B130" s="2">
        <v>0.94274487013426977</v>
      </c>
    </row>
    <row r="131" spans="1:2" x14ac:dyDescent="0.2">
      <c r="A131" s="3">
        <v>130</v>
      </c>
      <c r="B131" s="2">
        <v>0.94722851801500618</v>
      </c>
    </row>
    <row r="132" spans="1:2" x14ac:dyDescent="0.2">
      <c r="A132" s="3">
        <v>131</v>
      </c>
      <c r="B132" s="2">
        <v>0.73487475077030162</v>
      </c>
    </row>
    <row r="133" spans="1:2" x14ac:dyDescent="0.2">
      <c r="A133" s="3">
        <v>132</v>
      </c>
      <c r="B133" s="2">
        <v>0.15295149936147226</v>
      </c>
    </row>
    <row r="134" spans="1:2" x14ac:dyDescent="0.2">
      <c r="A134" s="3">
        <v>133</v>
      </c>
      <c r="B134" s="2">
        <v>0.14604844688337401</v>
      </c>
    </row>
    <row r="135" spans="1:2" x14ac:dyDescent="0.2">
      <c r="A135" s="3">
        <v>134</v>
      </c>
      <c r="B135" s="2">
        <v>0.49235419648199985</v>
      </c>
    </row>
    <row r="136" spans="1:2" x14ac:dyDescent="0.2">
      <c r="A136" s="3">
        <v>135</v>
      </c>
      <c r="B136" s="2">
        <v>0.88995447734642641</v>
      </c>
    </row>
    <row r="137" spans="1:2" x14ac:dyDescent="0.2">
      <c r="A137" s="3">
        <v>136</v>
      </c>
      <c r="B137" s="2">
        <v>0.23867577450890179</v>
      </c>
    </row>
    <row r="138" spans="1:2" x14ac:dyDescent="0.2">
      <c r="A138" s="3">
        <v>137</v>
      </c>
      <c r="B138" s="2">
        <v>1.7638358101375672E-2</v>
      </c>
    </row>
    <row r="139" spans="1:2" x14ac:dyDescent="0.2">
      <c r="A139" s="3">
        <v>138</v>
      </c>
      <c r="B139" s="2">
        <v>0.7690844506592609</v>
      </c>
    </row>
    <row r="140" spans="1:2" x14ac:dyDescent="0.2">
      <c r="A140" s="3">
        <v>139</v>
      </c>
      <c r="B140" s="2">
        <v>0.14398998023324822</v>
      </c>
    </row>
    <row r="141" spans="1:2" x14ac:dyDescent="0.2">
      <c r="A141" s="3">
        <v>140</v>
      </c>
      <c r="B141" s="2">
        <v>0.99725927641337087</v>
      </c>
    </row>
    <row r="142" spans="1:2" x14ac:dyDescent="0.2">
      <c r="A142" s="3">
        <v>141</v>
      </c>
      <c r="B142" s="2">
        <v>0.21479858642970087</v>
      </c>
    </row>
    <row r="143" spans="1:2" x14ac:dyDescent="0.2">
      <c r="A143" s="3">
        <v>142</v>
      </c>
      <c r="B143" s="2">
        <v>0.35096597237059823</v>
      </c>
    </row>
    <row r="144" spans="1:2" x14ac:dyDescent="0.2">
      <c r="A144" s="3">
        <v>143</v>
      </c>
      <c r="B144" s="2">
        <v>5.2835942196420231E-2</v>
      </c>
    </row>
    <row r="145" spans="1:2" x14ac:dyDescent="0.2">
      <c r="A145" s="3">
        <v>144</v>
      </c>
      <c r="B145" s="2">
        <v>0.98503853953716758</v>
      </c>
    </row>
    <row r="146" spans="1:2" x14ac:dyDescent="0.2">
      <c r="A146" s="3">
        <v>145</v>
      </c>
      <c r="B146" s="2">
        <v>5.3746207505269886E-2</v>
      </c>
    </row>
    <row r="147" spans="1:2" x14ac:dyDescent="0.2">
      <c r="A147" s="3">
        <v>146</v>
      </c>
      <c r="B147" s="2">
        <v>2.3825279409759727E-2</v>
      </c>
    </row>
    <row r="148" spans="1:2" x14ac:dyDescent="0.2">
      <c r="A148" s="3">
        <v>147</v>
      </c>
      <c r="B148" s="2">
        <v>0.39004323922818707</v>
      </c>
    </row>
    <row r="149" spans="1:2" x14ac:dyDescent="0.2">
      <c r="A149" s="3">
        <v>148</v>
      </c>
      <c r="B149" s="2">
        <v>4.026781593556307E-2</v>
      </c>
    </row>
    <row r="150" spans="1:2" x14ac:dyDescent="0.2">
      <c r="A150" s="3">
        <v>149</v>
      </c>
      <c r="B150" s="2">
        <v>5.9786569040084295E-2</v>
      </c>
    </row>
    <row r="151" spans="1:2" x14ac:dyDescent="0.2">
      <c r="A151" s="3">
        <v>150</v>
      </c>
      <c r="B151" s="2">
        <v>0.73230714468175218</v>
      </c>
    </row>
    <row r="152" spans="1:2" x14ac:dyDescent="0.2">
      <c r="A152" s="3">
        <v>151</v>
      </c>
      <c r="B152" s="2">
        <v>0.31994351671323251</v>
      </c>
    </row>
    <row r="153" spans="1:2" x14ac:dyDescent="0.2">
      <c r="A153" s="3">
        <v>152</v>
      </c>
      <c r="B153" s="2">
        <v>0.52389832432949435</v>
      </c>
    </row>
    <row r="154" spans="1:2" x14ac:dyDescent="0.2">
      <c r="A154" s="3">
        <v>153</v>
      </c>
      <c r="B154" s="2">
        <v>0.12257095325453753</v>
      </c>
    </row>
    <row r="155" spans="1:2" x14ac:dyDescent="0.2">
      <c r="A155" s="3">
        <v>154</v>
      </c>
      <c r="B155" s="2">
        <v>0.16088028054167969</v>
      </c>
    </row>
    <row r="156" spans="1:2" x14ac:dyDescent="0.2">
      <c r="A156" s="3">
        <v>155</v>
      </c>
      <c r="B156" s="2">
        <v>0.61822299778281975</v>
      </c>
    </row>
    <row r="157" spans="1:2" x14ac:dyDescent="0.2">
      <c r="A157" s="3">
        <v>156</v>
      </c>
      <c r="B157" s="2">
        <v>0.94920175599217593</v>
      </c>
    </row>
    <row r="158" spans="1:2" x14ac:dyDescent="0.2">
      <c r="A158" s="3">
        <v>157</v>
      </c>
      <c r="B158" s="2">
        <v>0.10020357892055204</v>
      </c>
    </row>
    <row r="159" spans="1:2" x14ac:dyDescent="0.2">
      <c r="A159" s="3">
        <v>158</v>
      </c>
      <c r="B159" s="2">
        <v>0.87860780518810544</v>
      </c>
    </row>
    <row r="160" spans="1:2" x14ac:dyDescent="0.2">
      <c r="A160" s="3">
        <v>159</v>
      </c>
      <c r="B160" s="2">
        <v>0.33098292155692488</v>
      </c>
    </row>
    <row r="161" spans="1:2" x14ac:dyDescent="0.2">
      <c r="A161" s="3">
        <v>160</v>
      </c>
      <c r="B161" s="2">
        <v>0.21342867097964502</v>
      </c>
    </row>
    <row r="162" spans="1:2" x14ac:dyDescent="0.2">
      <c r="A162" s="3">
        <v>161</v>
      </c>
      <c r="B162" s="2">
        <v>0.40629592520287988</v>
      </c>
    </row>
    <row r="163" spans="1:2" x14ac:dyDescent="0.2">
      <c r="A163" s="3">
        <v>162</v>
      </c>
      <c r="B163" s="2">
        <v>0.28700614065898189</v>
      </c>
    </row>
    <row r="164" spans="1:2" x14ac:dyDescent="0.2">
      <c r="A164" s="3">
        <v>163</v>
      </c>
      <c r="B164" s="2">
        <v>0.46326001593072841</v>
      </c>
    </row>
    <row r="165" spans="1:2" x14ac:dyDescent="0.2">
      <c r="A165" s="3">
        <v>164</v>
      </c>
      <c r="B165" s="2">
        <v>0.20278913001597884</v>
      </c>
    </row>
    <row r="166" spans="1:2" x14ac:dyDescent="0.2">
      <c r="A166" s="3">
        <v>165</v>
      </c>
      <c r="B166" s="2">
        <v>5.4841076045246261E-2</v>
      </c>
    </row>
    <row r="167" spans="1:2" x14ac:dyDescent="0.2">
      <c r="A167" s="3">
        <v>166</v>
      </c>
      <c r="B167" s="2">
        <v>0.63186044877987746</v>
      </c>
    </row>
    <row r="168" spans="1:2" x14ac:dyDescent="0.2">
      <c r="A168" s="3">
        <v>167</v>
      </c>
      <c r="B168" s="2">
        <v>0.97767455113144985</v>
      </c>
    </row>
    <row r="169" spans="1:2" x14ac:dyDescent="0.2">
      <c r="A169" s="3">
        <v>168</v>
      </c>
      <c r="B169" s="2">
        <v>0.86250893657925631</v>
      </c>
    </row>
    <row r="170" spans="1:2" x14ac:dyDescent="0.2">
      <c r="A170" s="3">
        <v>169</v>
      </c>
      <c r="B170" s="2">
        <v>3.7573741917416463E-2</v>
      </c>
    </row>
    <row r="171" spans="1:2" x14ac:dyDescent="0.2">
      <c r="A171" s="3">
        <v>170</v>
      </c>
      <c r="B171" s="2">
        <v>0.62385578563948862</v>
      </c>
    </row>
    <row r="172" spans="1:2" x14ac:dyDescent="0.2">
      <c r="A172" s="3">
        <v>171</v>
      </c>
      <c r="B172" s="2">
        <v>9.7797860595493002E-2</v>
      </c>
    </row>
    <row r="173" spans="1:2" x14ac:dyDescent="0.2">
      <c r="A173" s="3">
        <v>172</v>
      </c>
      <c r="B173" s="2">
        <v>0.27291344400013273</v>
      </c>
    </row>
    <row r="174" spans="1:2" x14ac:dyDescent="0.2">
      <c r="A174" s="3">
        <v>173</v>
      </c>
      <c r="B174" s="2">
        <v>0.25361890432936945</v>
      </c>
    </row>
    <row r="175" spans="1:2" x14ac:dyDescent="0.2">
      <c r="A175" s="3">
        <v>174</v>
      </c>
      <c r="B175" s="2">
        <v>0.49365716601162052</v>
      </c>
    </row>
    <row r="176" spans="1:2" x14ac:dyDescent="0.2">
      <c r="A176" s="3">
        <v>175</v>
      </c>
      <c r="B176" s="2">
        <v>0.8129223969100412</v>
      </c>
    </row>
    <row r="177" spans="1:2" x14ac:dyDescent="0.2">
      <c r="A177" s="3">
        <v>176</v>
      </c>
      <c r="B177" s="2">
        <v>0.23556926795569311</v>
      </c>
    </row>
    <row r="178" spans="1:2" x14ac:dyDescent="0.2">
      <c r="A178" s="3">
        <v>177</v>
      </c>
      <c r="B178" s="2">
        <v>0.50169520084456121</v>
      </c>
    </row>
    <row r="179" spans="1:2" x14ac:dyDescent="0.2">
      <c r="A179" s="3">
        <v>178</v>
      </c>
      <c r="B179" s="2">
        <v>0.56024261815291987</v>
      </c>
    </row>
    <row r="180" spans="1:2" x14ac:dyDescent="0.2">
      <c r="A180" s="3">
        <v>179</v>
      </c>
      <c r="B180" s="2">
        <v>0.29358660201215847</v>
      </c>
    </row>
    <row r="181" spans="1:2" x14ac:dyDescent="0.2">
      <c r="A181" s="3">
        <v>180</v>
      </c>
      <c r="B181" s="2">
        <v>0.94535376979722852</v>
      </c>
    </row>
    <row r="182" spans="1:2" x14ac:dyDescent="0.2">
      <c r="A182" s="3">
        <v>181</v>
      </c>
      <c r="B182" s="2">
        <v>0.46719285573440261</v>
      </c>
    </row>
    <row r="183" spans="1:2" x14ac:dyDescent="0.2">
      <c r="A183" s="3">
        <v>182</v>
      </c>
      <c r="B183" s="2">
        <v>0.42130258204798798</v>
      </c>
    </row>
    <row r="184" spans="1:2" x14ac:dyDescent="0.2">
      <c r="A184" s="3">
        <v>183</v>
      </c>
      <c r="B184" s="2">
        <v>0.26911657783023823</v>
      </c>
    </row>
    <row r="185" spans="1:2" x14ac:dyDescent="0.2">
      <c r="A185" s="3">
        <v>184</v>
      </c>
      <c r="B185" s="2">
        <v>1.0430924320544604E-2</v>
      </c>
    </row>
    <row r="186" spans="1:2" x14ac:dyDescent="0.2">
      <c r="A186" s="3">
        <v>185</v>
      </c>
      <c r="B186" s="2">
        <v>0.63070961566855421</v>
      </c>
    </row>
    <row r="187" spans="1:2" x14ac:dyDescent="0.2">
      <c r="A187" s="3">
        <v>186</v>
      </c>
      <c r="B187" s="2">
        <v>0.29292940977949877</v>
      </c>
    </row>
    <row r="188" spans="1:2" x14ac:dyDescent="0.2">
      <c r="A188" s="3">
        <v>187</v>
      </c>
      <c r="B188" s="2">
        <v>0.63506872208874054</v>
      </c>
    </row>
    <row r="189" spans="1:2" x14ac:dyDescent="0.2">
      <c r="A189" s="3">
        <v>188</v>
      </c>
      <c r="B189" s="2">
        <v>0.57800448880775845</v>
      </c>
    </row>
    <row r="190" spans="1:2" x14ac:dyDescent="0.2">
      <c r="A190" s="3">
        <v>189</v>
      </c>
      <c r="B190" s="2">
        <v>0.7299807731413539</v>
      </c>
    </row>
    <row r="191" spans="1:2" x14ac:dyDescent="0.2">
      <c r="A191" s="3">
        <v>190</v>
      </c>
      <c r="B191" s="2">
        <v>0.31811985166614043</v>
      </c>
    </row>
    <row r="192" spans="1:2" x14ac:dyDescent="0.2">
      <c r="A192" s="3">
        <v>191</v>
      </c>
      <c r="B192" s="2">
        <v>0.81171028538098966</v>
      </c>
    </row>
    <row r="193" spans="1:2" x14ac:dyDescent="0.2">
      <c r="A193" s="3">
        <v>192</v>
      </c>
      <c r="B193" s="2">
        <v>0.8798239931715014</v>
      </c>
    </row>
    <row r="194" spans="1:2" x14ac:dyDescent="0.2">
      <c r="A194" s="3">
        <v>193</v>
      </c>
      <c r="B194" s="2">
        <v>0.69676179468288379</v>
      </c>
    </row>
    <row r="195" spans="1:2" x14ac:dyDescent="0.2">
      <c r="A195" s="3">
        <v>194</v>
      </c>
      <c r="B195" s="2">
        <v>0.1427782234927292</v>
      </c>
    </row>
    <row r="196" spans="1:2" x14ac:dyDescent="0.2">
      <c r="A196" s="3">
        <v>195</v>
      </c>
      <c r="B196" s="2">
        <v>0.52434630441879515</v>
      </c>
    </row>
    <row r="197" spans="1:2" x14ac:dyDescent="0.2">
      <c r="A197" s="3">
        <v>196</v>
      </c>
      <c r="B197" s="2">
        <v>0.61444433914890073</v>
      </c>
    </row>
    <row r="198" spans="1:2" x14ac:dyDescent="0.2">
      <c r="A198" s="3">
        <v>197</v>
      </c>
      <c r="B198" s="2">
        <v>0.66140170700628031</v>
      </c>
    </row>
    <row r="199" spans="1:2" x14ac:dyDescent="0.2">
      <c r="A199" s="3">
        <v>198</v>
      </c>
      <c r="B199" s="2">
        <v>0.98733691975917914</v>
      </c>
    </row>
    <row r="200" spans="1:2" x14ac:dyDescent="0.2">
      <c r="A200" s="3">
        <v>199</v>
      </c>
      <c r="B200" s="2">
        <v>0.93541770402092161</v>
      </c>
    </row>
    <row r="201" spans="1:2" x14ac:dyDescent="0.2">
      <c r="A201" s="3">
        <v>200</v>
      </c>
      <c r="B201" s="2">
        <v>0.15211162238297676</v>
      </c>
    </row>
    <row r="202" spans="1:2" x14ac:dyDescent="0.2">
      <c r="A202" s="3">
        <v>201</v>
      </c>
      <c r="B202" s="2">
        <v>0.8595607477386995</v>
      </c>
    </row>
    <row r="203" spans="1:2" x14ac:dyDescent="0.2">
      <c r="A203" s="3">
        <v>202</v>
      </c>
      <c r="B203" s="2">
        <v>0.35323664566346247</v>
      </c>
    </row>
    <row r="204" spans="1:2" x14ac:dyDescent="0.2">
      <c r="A204" s="3">
        <v>203</v>
      </c>
      <c r="B204" s="2">
        <v>9.4446650459860712E-2</v>
      </c>
    </row>
    <row r="205" spans="1:2" x14ac:dyDescent="0.2">
      <c r="A205" s="3">
        <v>204</v>
      </c>
      <c r="B205" s="2">
        <v>0.83329980675875526</v>
      </c>
    </row>
    <row r="206" spans="1:2" x14ac:dyDescent="0.2">
      <c r="A206" s="3">
        <v>205</v>
      </c>
      <c r="B206" s="2">
        <v>0.89150859601463261</v>
      </c>
    </row>
    <row r="207" spans="1:2" x14ac:dyDescent="0.2">
      <c r="A207" s="3">
        <v>206</v>
      </c>
      <c r="B207" s="2">
        <v>0.8679241218478615</v>
      </c>
    </row>
    <row r="208" spans="1:2" x14ac:dyDescent="0.2">
      <c r="A208" s="3">
        <v>207</v>
      </c>
      <c r="B208" s="2">
        <v>0.74178648235977485</v>
      </c>
    </row>
    <row r="209" spans="1:2" x14ac:dyDescent="0.2">
      <c r="A209" s="3">
        <v>208</v>
      </c>
      <c r="B209" s="2">
        <v>1.6197832443113406E-2</v>
      </c>
    </row>
    <row r="210" spans="1:2" x14ac:dyDescent="0.2">
      <c r="A210" s="3">
        <v>209</v>
      </c>
      <c r="B210" s="2">
        <v>0.48522539315677982</v>
      </c>
    </row>
    <row r="211" spans="1:2" x14ac:dyDescent="0.2">
      <c r="A211" s="3">
        <v>210</v>
      </c>
      <c r="B211" s="2">
        <v>0.19472148822676327</v>
      </c>
    </row>
    <row r="212" spans="1:2" x14ac:dyDescent="0.2">
      <c r="A212" s="3">
        <v>211</v>
      </c>
      <c r="B212" s="2">
        <v>0.52354351584002556</v>
      </c>
    </row>
    <row r="213" spans="1:2" x14ac:dyDescent="0.2">
      <c r="A213" s="3">
        <v>212</v>
      </c>
      <c r="B213" s="2">
        <v>0.99839721231001932</v>
      </c>
    </row>
    <row r="214" spans="1:2" x14ac:dyDescent="0.2">
      <c r="A214" s="3">
        <v>213</v>
      </c>
      <c r="B214" s="2">
        <v>0.66547849268473147</v>
      </c>
    </row>
    <row r="215" spans="1:2" x14ac:dyDescent="0.2">
      <c r="A215" s="3">
        <v>214</v>
      </c>
      <c r="B215" s="2">
        <v>0.12863360602135643</v>
      </c>
    </row>
    <row r="216" spans="1:2" x14ac:dyDescent="0.2">
      <c r="A216" s="3">
        <v>215</v>
      </c>
      <c r="B216" s="2">
        <v>9.2811108170220466E-2</v>
      </c>
    </row>
    <row r="217" spans="1:2" x14ac:dyDescent="0.2">
      <c r="A217" s="3">
        <v>216</v>
      </c>
      <c r="B217" s="2">
        <v>0.86958382718119986</v>
      </c>
    </row>
    <row r="218" spans="1:2" x14ac:dyDescent="0.2">
      <c r="A218" s="3">
        <v>217</v>
      </c>
      <c r="B218" s="2">
        <v>0.46986266058649784</v>
      </c>
    </row>
    <row r="219" spans="1:2" x14ac:dyDescent="0.2">
      <c r="A219" s="3">
        <v>218</v>
      </c>
      <c r="B219" s="2">
        <v>0.88958372012412013</v>
      </c>
    </row>
    <row r="220" spans="1:2" x14ac:dyDescent="0.2">
      <c r="A220" s="3">
        <v>219</v>
      </c>
      <c r="B220" s="2">
        <v>0.71776402224003966</v>
      </c>
    </row>
    <row r="221" spans="1:2" x14ac:dyDescent="0.2">
      <c r="A221" s="3">
        <v>220</v>
      </c>
      <c r="B221" s="2">
        <v>0.99367037034146655</v>
      </c>
    </row>
    <row r="222" spans="1:2" x14ac:dyDescent="0.2">
      <c r="A222" s="3">
        <v>221</v>
      </c>
      <c r="B222" s="2">
        <v>0.52509987884620379</v>
      </c>
    </row>
    <row r="223" spans="1:2" x14ac:dyDescent="0.2">
      <c r="A223" s="3">
        <v>222</v>
      </c>
      <c r="B223" s="2">
        <v>0.92531623400875285</v>
      </c>
    </row>
    <row r="224" spans="1:2" x14ac:dyDescent="0.2">
      <c r="A224" s="3">
        <v>223</v>
      </c>
      <c r="B224" s="2">
        <v>0.88910495288255509</v>
      </c>
    </row>
    <row r="225" spans="1:2" x14ac:dyDescent="0.2">
      <c r="A225" s="3">
        <v>224</v>
      </c>
      <c r="B225" s="2">
        <v>0.6214698969537038</v>
      </c>
    </row>
    <row r="226" spans="1:2" x14ac:dyDescent="0.2">
      <c r="A226" s="3">
        <v>225</v>
      </c>
      <c r="B226" s="2">
        <v>0.4613150192615903</v>
      </c>
    </row>
    <row r="227" spans="1:2" x14ac:dyDescent="0.2">
      <c r="A227" s="3">
        <v>226</v>
      </c>
      <c r="B227" s="2">
        <v>0.3388206297363125</v>
      </c>
    </row>
    <row r="228" spans="1:2" x14ac:dyDescent="0.2">
      <c r="A228" s="3">
        <v>227</v>
      </c>
      <c r="B228" s="2">
        <v>0.44347365296487806</v>
      </c>
    </row>
    <row r="229" spans="1:2" x14ac:dyDescent="0.2">
      <c r="A229" s="3">
        <v>228</v>
      </c>
      <c r="B229" s="2">
        <v>0.67743686709039452</v>
      </c>
    </row>
    <row r="230" spans="1:2" x14ac:dyDescent="0.2">
      <c r="A230" s="3">
        <v>229</v>
      </c>
      <c r="B230" s="2">
        <v>0.9312322840558197</v>
      </c>
    </row>
    <row r="231" spans="1:2" x14ac:dyDescent="0.2">
      <c r="A231" s="3">
        <v>230</v>
      </c>
      <c r="B231" s="2">
        <v>0.40313093498204811</v>
      </c>
    </row>
    <row r="232" spans="1:2" x14ac:dyDescent="0.2">
      <c r="A232" s="3">
        <v>231</v>
      </c>
      <c r="B232" s="2">
        <v>0.24140300529869296</v>
      </c>
    </row>
    <row r="233" spans="1:2" x14ac:dyDescent="0.2">
      <c r="A233" s="3">
        <v>232</v>
      </c>
      <c r="B233" s="2">
        <v>0.50259449420292168</v>
      </c>
    </row>
    <row r="234" spans="1:2" x14ac:dyDescent="0.2">
      <c r="A234" s="3">
        <v>233</v>
      </c>
      <c r="B234" s="2">
        <v>0.55538910953320486</v>
      </c>
    </row>
    <row r="235" spans="1:2" x14ac:dyDescent="0.2">
      <c r="A235" s="3">
        <v>234</v>
      </c>
      <c r="B235" s="2">
        <v>0.38307437271993666</v>
      </c>
    </row>
    <row r="236" spans="1:2" x14ac:dyDescent="0.2">
      <c r="A236" s="3">
        <v>235</v>
      </c>
      <c r="B236" s="2">
        <v>0.30729448314516983</v>
      </c>
    </row>
    <row r="237" spans="1:2" x14ac:dyDescent="0.2">
      <c r="A237" s="3">
        <v>236</v>
      </c>
      <c r="B237" s="2">
        <v>0.48555022381708179</v>
      </c>
    </row>
    <row r="238" spans="1:2" x14ac:dyDescent="0.2">
      <c r="A238" s="3">
        <v>237</v>
      </c>
      <c r="B238" s="2">
        <v>0.83758229402895401</v>
      </c>
    </row>
    <row r="239" spans="1:2" x14ac:dyDescent="0.2">
      <c r="A239" s="3">
        <v>238</v>
      </c>
      <c r="B239" s="2">
        <v>0.68995750807631762</v>
      </c>
    </row>
    <row r="240" spans="1:2" x14ac:dyDescent="0.2">
      <c r="A240" s="3">
        <v>239</v>
      </c>
      <c r="B240" s="2">
        <v>0.40205291042250474</v>
      </c>
    </row>
    <row r="241" spans="1:2" x14ac:dyDescent="0.2">
      <c r="A241" s="3">
        <v>240</v>
      </c>
      <c r="B241" s="2">
        <v>8.7358962913847919E-4</v>
      </c>
    </row>
    <row r="242" spans="1:2" x14ac:dyDescent="0.2">
      <c r="A242" s="3">
        <v>241</v>
      </c>
      <c r="B242" s="2">
        <v>0.91380514687237291</v>
      </c>
    </row>
    <row r="243" spans="1:2" x14ac:dyDescent="0.2">
      <c r="A243" s="3">
        <v>242</v>
      </c>
      <c r="B243" s="2">
        <v>0.32528728352042025</v>
      </c>
    </row>
    <row r="244" spans="1:2" x14ac:dyDescent="0.2">
      <c r="A244" s="3">
        <v>243</v>
      </c>
      <c r="B244" s="2">
        <v>0.74633580551504264</v>
      </c>
    </row>
    <row r="245" spans="1:2" x14ac:dyDescent="0.2">
      <c r="A245" s="3">
        <v>244</v>
      </c>
      <c r="B245" s="2">
        <v>0.94630748680530163</v>
      </c>
    </row>
    <row r="246" spans="1:2" x14ac:dyDescent="0.2">
      <c r="A246" s="3">
        <v>245</v>
      </c>
      <c r="B246" s="2">
        <v>0.34360014809255468</v>
      </c>
    </row>
    <row r="247" spans="1:2" x14ac:dyDescent="0.2">
      <c r="A247" s="3">
        <v>246</v>
      </c>
      <c r="B247" s="2">
        <v>0.53400180115327012</v>
      </c>
    </row>
    <row r="248" spans="1:2" x14ac:dyDescent="0.2">
      <c r="A248" s="3">
        <v>247</v>
      </c>
      <c r="B248" s="2">
        <v>0.77856430671383459</v>
      </c>
    </row>
    <row r="249" spans="1:2" x14ac:dyDescent="0.2">
      <c r="A249" s="3">
        <v>248</v>
      </c>
      <c r="B249" s="2">
        <v>0.66752473431840431</v>
      </c>
    </row>
    <row r="250" spans="1:2" x14ac:dyDescent="0.2">
      <c r="A250" s="3">
        <v>249</v>
      </c>
      <c r="B250" s="2">
        <v>0.16674630086674214</v>
      </c>
    </row>
    <row r="251" spans="1:2" x14ac:dyDescent="0.2">
      <c r="A251" s="3">
        <v>250</v>
      </c>
      <c r="B251" s="2">
        <v>0.7201925953240752</v>
      </c>
    </row>
    <row r="252" spans="1:2" x14ac:dyDescent="0.2">
      <c r="A252" s="3">
        <v>251</v>
      </c>
      <c r="B252" s="2">
        <v>0.88034080433294315</v>
      </c>
    </row>
    <row r="253" spans="1:2" x14ac:dyDescent="0.2">
      <c r="A253" s="3">
        <v>252</v>
      </c>
      <c r="B253" s="2">
        <v>0.35259064247023486</v>
      </c>
    </row>
    <row r="254" spans="1:2" x14ac:dyDescent="0.2">
      <c r="A254" s="3">
        <v>253</v>
      </c>
      <c r="B254" s="2">
        <v>0.82606111193024789</v>
      </c>
    </row>
    <row r="255" spans="1:2" x14ac:dyDescent="0.2">
      <c r="A255" s="3">
        <v>254</v>
      </c>
      <c r="B255" s="2">
        <v>0.9775960864433606</v>
      </c>
    </row>
    <row r="256" spans="1:2" x14ac:dyDescent="0.2">
      <c r="A256" s="3">
        <v>255</v>
      </c>
      <c r="B256" s="2">
        <v>0.25535194661717109</v>
      </c>
    </row>
    <row r="257" spans="1:2" x14ac:dyDescent="0.2">
      <c r="A257" s="3">
        <v>256</v>
      </c>
      <c r="B257" s="2">
        <v>6.6999660958805593E-2</v>
      </c>
    </row>
    <row r="258" spans="1:2" x14ac:dyDescent="0.2">
      <c r="A258" s="3">
        <v>257</v>
      </c>
      <c r="B258" s="2">
        <v>0.56935154678261912</v>
      </c>
    </row>
    <row r="259" spans="1:2" x14ac:dyDescent="0.2">
      <c r="A259" s="3">
        <v>258</v>
      </c>
      <c r="B259" s="2">
        <v>0.79830108579782222</v>
      </c>
    </row>
    <row r="260" spans="1:2" x14ac:dyDescent="0.2">
      <c r="A260" s="3">
        <v>259</v>
      </c>
      <c r="B260" s="2">
        <v>0.53343014842968928</v>
      </c>
    </row>
    <row r="261" spans="1:2" x14ac:dyDescent="0.2">
      <c r="A261" s="3">
        <v>260</v>
      </c>
      <c r="B261" s="2">
        <v>0.91042828976745527</v>
      </c>
    </row>
    <row r="262" spans="1:2" x14ac:dyDescent="0.2">
      <c r="A262" s="3">
        <v>261</v>
      </c>
      <c r="B262" s="2">
        <v>0.21208885994798965</v>
      </c>
    </row>
    <row r="263" spans="1:2" x14ac:dyDescent="0.2">
      <c r="A263" s="3">
        <v>262</v>
      </c>
      <c r="B263" s="2">
        <v>6.1801373478882676E-2</v>
      </c>
    </row>
    <row r="264" spans="1:2" x14ac:dyDescent="0.2">
      <c r="A264" s="3">
        <v>263</v>
      </c>
      <c r="B264" s="2">
        <v>1.9970391266839742E-2</v>
      </c>
    </row>
    <row r="265" spans="1:2" x14ac:dyDescent="0.2">
      <c r="A265" s="3">
        <v>264</v>
      </c>
      <c r="B265" s="2">
        <v>8.5868049090106285E-2</v>
      </c>
    </row>
    <row r="266" spans="1:2" x14ac:dyDescent="0.2">
      <c r="A266" s="3">
        <v>265</v>
      </c>
      <c r="B266" s="2">
        <v>0.5502420935044936</v>
      </c>
    </row>
    <row r="267" spans="1:2" x14ac:dyDescent="0.2">
      <c r="A267" s="3">
        <v>266</v>
      </c>
      <c r="B267" s="2">
        <v>0.81147279628307223</v>
      </c>
    </row>
    <row r="268" spans="1:2" x14ac:dyDescent="0.2">
      <c r="A268" s="3">
        <v>267</v>
      </c>
      <c r="B268" s="2">
        <v>0.83630118101965722</v>
      </c>
    </row>
    <row r="269" spans="1:2" x14ac:dyDescent="0.2">
      <c r="A269" s="3">
        <v>268</v>
      </c>
      <c r="B269" s="2">
        <v>0.79262996554695919</v>
      </c>
    </row>
    <row r="270" spans="1:2" x14ac:dyDescent="0.2">
      <c r="A270" s="3">
        <v>269</v>
      </c>
      <c r="B270" s="2">
        <v>0.36528556029531883</v>
      </c>
    </row>
    <row r="271" spans="1:2" x14ac:dyDescent="0.2">
      <c r="A271" s="3">
        <v>270</v>
      </c>
      <c r="B271" s="2">
        <v>0.83699204158227403</v>
      </c>
    </row>
    <row r="272" spans="1:2" x14ac:dyDescent="0.2">
      <c r="A272" s="3">
        <v>271</v>
      </c>
      <c r="B272" s="2">
        <v>0.924477959271506</v>
      </c>
    </row>
    <row r="273" spans="1:2" x14ac:dyDescent="0.2">
      <c r="A273" s="3">
        <v>272</v>
      </c>
      <c r="B273" s="2">
        <v>0.21884576544680659</v>
      </c>
    </row>
    <row r="274" spans="1:2" x14ac:dyDescent="0.2">
      <c r="A274" s="3">
        <v>273</v>
      </c>
      <c r="B274" s="2">
        <v>0.69603234713013684</v>
      </c>
    </row>
    <row r="275" spans="1:2" x14ac:dyDescent="0.2">
      <c r="A275" s="3">
        <v>274</v>
      </c>
      <c r="B275" s="2">
        <v>0.63137189266107352</v>
      </c>
    </row>
    <row r="276" spans="1:2" x14ac:dyDescent="0.2">
      <c r="A276" s="3">
        <v>275</v>
      </c>
      <c r="B276" s="2">
        <v>0.94211998146411435</v>
      </c>
    </row>
    <row r="277" spans="1:2" x14ac:dyDescent="0.2">
      <c r="A277" s="3">
        <v>276</v>
      </c>
      <c r="B277" s="2">
        <v>4.3919689961576636E-2</v>
      </c>
    </row>
    <row r="278" spans="1:2" x14ac:dyDescent="0.2">
      <c r="A278" s="3">
        <v>277</v>
      </c>
      <c r="B278" s="2">
        <v>0.21682383263946531</v>
      </c>
    </row>
    <row r="279" spans="1:2" x14ac:dyDescent="0.2">
      <c r="A279" s="3">
        <v>278</v>
      </c>
      <c r="B279" s="2">
        <v>0.22660319463377221</v>
      </c>
    </row>
    <row r="280" spans="1:2" x14ac:dyDescent="0.2">
      <c r="A280" s="3">
        <v>279</v>
      </c>
      <c r="B280" s="2">
        <v>0.99646424756787744</v>
      </c>
    </row>
    <row r="281" spans="1:2" x14ac:dyDescent="0.2">
      <c r="A281" s="3">
        <v>280</v>
      </c>
      <c r="B281" s="2">
        <v>0.48058660436424933</v>
      </c>
    </row>
    <row r="282" spans="1:2" x14ac:dyDescent="0.2">
      <c r="A282" s="3">
        <v>281</v>
      </c>
      <c r="B282" s="2">
        <v>0.56780644707347316</v>
      </c>
    </row>
    <row r="283" spans="1:2" x14ac:dyDescent="0.2">
      <c r="A283" s="3">
        <v>282</v>
      </c>
      <c r="B283" s="2">
        <v>0.96878920899827081</v>
      </c>
    </row>
    <row r="284" spans="1:2" x14ac:dyDescent="0.2">
      <c r="A284" s="3">
        <v>283</v>
      </c>
      <c r="B284" s="2">
        <v>0.97701760149853822</v>
      </c>
    </row>
    <row r="285" spans="1:2" x14ac:dyDescent="0.2">
      <c r="A285" s="3">
        <v>284</v>
      </c>
      <c r="B285" s="2">
        <v>0.92179925123320239</v>
      </c>
    </row>
    <row r="286" spans="1:2" x14ac:dyDescent="0.2">
      <c r="A286" s="3">
        <v>285</v>
      </c>
      <c r="B286" s="2">
        <v>0.61907101418541288</v>
      </c>
    </row>
    <row r="287" spans="1:2" x14ac:dyDescent="0.2">
      <c r="A287" s="3">
        <v>286</v>
      </c>
      <c r="B287" s="2">
        <v>0.78250108758784576</v>
      </c>
    </row>
    <row r="288" spans="1:2" x14ac:dyDescent="0.2">
      <c r="A288" s="3">
        <v>287</v>
      </c>
      <c r="B288" s="2">
        <v>0.98043059067686456</v>
      </c>
    </row>
    <row r="289" spans="1:2" x14ac:dyDescent="0.2">
      <c r="A289" s="3">
        <v>288</v>
      </c>
      <c r="B289" s="2">
        <v>0.70597126595136761</v>
      </c>
    </row>
    <row r="290" spans="1:2" x14ac:dyDescent="0.2">
      <c r="A290" s="3">
        <v>289</v>
      </c>
      <c r="B290" s="2">
        <v>6.4230570628955055E-2</v>
      </c>
    </row>
    <row r="291" spans="1:2" x14ac:dyDescent="0.2">
      <c r="A291" s="3">
        <v>290</v>
      </c>
      <c r="B291" s="2">
        <v>0.31590349325006273</v>
      </c>
    </row>
    <row r="292" spans="1:2" x14ac:dyDescent="0.2">
      <c r="A292" s="3">
        <v>291</v>
      </c>
      <c r="B292" s="2">
        <v>0.68311464481706741</v>
      </c>
    </row>
    <row r="293" spans="1:2" x14ac:dyDescent="0.2">
      <c r="A293" s="3">
        <v>292</v>
      </c>
      <c r="B293" s="2">
        <v>0.71396775591483919</v>
      </c>
    </row>
    <row r="294" spans="1:2" x14ac:dyDescent="0.2">
      <c r="A294" s="3">
        <v>293</v>
      </c>
      <c r="B294" s="2">
        <v>0.53669147333783229</v>
      </c>
    </row>
    <row r="295" spans="1:2" x14ac:dyDescent="0.2">
      <c r="A295" s="3">
        <v>294</v>
      </c>
      <c r="B295" s="2">
        <v>3.9940621189033604E-2</v>
      </c>
    </row>
    <row r="296" spans="1:2" x14ac:dyDescent="0.2">
      <c r="A296" s="3">
        <v>295</v>
      </c>
      <c r="B296" s="2">
        <v>0.36348522994164201</v>
      </c>
    </row>
    <row r="297" spans="1:2" x14ac:dyDescent="0.2">
      <c r="A297" s="3">
        <v>296</v>
      </c>
      <c r="B297" s="2">
        <v>0.83055235904388591</v>
      </c>
    </row>
    <row r="298" spans="1:2" x14ac:dyDescent="0.2">
      <c r="A298" s="3">
        <v>297</v>
      </c>
      <c r="B298" s="2">
        <v>0.33524934338352652</v>
      </c>
    </row>
    <row r="299" spans="1:2" x14ac:dyDescent="0.2">
      <c r="A299" s="3">
        <v>298</v>
      </c>
      <c r="B299" s="2">
        <v>0.31654917513842024</v>
      </c>
    </row>
    <row r="300" spans="1:2" x14ac:dyDescent="0.2">
      <c r="A300" s="3">
        <v>299</v>
      </c>
      <c r="B300" s="2">
        <v>6.5864271770663438E-2</v>
      </c>
    </row>
    <row r="301" spans="1:2" x14ac:dyDescent="0.2">
      <c r="A301" s="3">
        <v>300</v>
      </c>
      <c r="B301" s="2">
        <v>0.21745165874211472</v>
      </c>
    </row>
    <row r="302" spans="1:2" x14ac:dyDescent="0.2">
      <c r="A302" s="3">
        <v>301</v>
      </c>
      <c r="B302" s="2">
        <v>0.2559215736263199</v>
      </c>
    </row>
    <row r="303" spans="1:2" x14ac:dyDescent="0.2">
      <c r="A303" s="3">
        <v>302</v>
      </c>
      <c r="B303" s="2">
        <v>0.90058251915105803</v>
      </c>
    </row>
    <row r="304" spans="1:2" x14ac:dyDescent="0.2">
      <c r="A304" s="3">
        <v>303</v>
      </c>
      <c r="B304" s="2">
        <v>0.60591289975221452</v>
      </c>
    </row>
    <row r="305" spans="1:2" x14ac:dyDescent="0.2">
      <c r="A305" s="3">
        <v>304</v>
      </c>
      <c r="B305" s="2">
        <v>0.84565514179390011</v>
      </c>
    </row>
    <row r="306" spans="1:2" x14ac:dyDescent="0.2">
      <c r="A306" s="3">
        <v>305</v>
      </c>
      <c r="B306" s="2">
        <v>0.21076818479100909</v>
      </c>
    </row>
    <row r="307" spans="1:2" x14ac:dyDescent="0.2">
      <c r="A307" s="3">
        <v>306</v>
      </c>
      <c r="B307" s="2">
        <v>0.82377591940874995</v>
      </c>
    </row>
    <row r="308" spans="1:2" x14ac:dyDescent="0.2">
      <c r="A308" s="3">
        <v>307</v>
      </c>
      <c r="B308" s="2">
        <v>0.62889996578408036</v>
      </c>
    </row>
    <row r="309" spans="1:2" x14ac:dyDescent="0.2">
      <c r="A309" s="3">
        <v>308</v>
      </c>
      <c r="B309" s="2">
        <v>0.8809308798356682</v>
      </c>
    </row>
    <row r="310" spans="1:2" x14ac:dyDescent="0.2">
      <c r="A310" s="3">
        <v>309</v>
      </c>
      <c r="B310" s="2">
        <v>0.91586790564824461</v>
      </c>
    </row>
    <row r="311" spans="1:2" x14ac:dyDescent="0.2">
      <c r="A311" s="3">
        <v>310</v>
      </c>
      <c r="B311" s="2">
        <v>0.29753674695834176</v>
      </c>
    </row>
    <row r="312" spans="1:2" x14ac:dyDescent="0.2">
      <c r="A312" s="3">
        <v>311</v>
      </c>
      <c r="B312" s="2">
        <v>0.95898418758465764</v>
      </c>
    </row>
    <row r="313" spans="1:2" x14ac:dyDescent="0.2">
      <c r="A313" s="3">
        <v>312</v>
      </c>
      <c r="B313" s="2">
        <v>0.99683625961737143</v>
      </c>
    </row>
    <row r="314" spans="1:2" x14ac:dyDescent="0.2">
      <c r="A314" s="3">
        <v>313</v>
      </c>
      <c r="B314" s="2">
        <v>0.1793137407259216</v>
      </c>
    </row>
    <row r="315" spans="1:2" x14ac:dyDescent="0.2">
      <c r="A315" s="3">
        <v>314</v>
      </c>
      <c r="B315" s="2">
        <v>2.541334194664762E-2</v>
      </c>
    </row>
    <row r="316" spans="1:2" x14ac:dyDescent="0.2">
      <c r="A316" s="3">
        <v>315</v>
      </c>
      <c r="B316" s="2">
        <v>0.72272665087345478</v>
      </c>
    </row>
    <row r="317" spans="1:2" x14ac:dyDescent="0.2">
      <c r="A317" s="3">
        <v>316</v>
      </c>
      <c r="B317" s="2">
        <v>0.61123819000793556</v>
      </c>
    </row>
    <row r="318" spans="1:2" x14ac:dyDescent="0.2">
      <c r="A318" s="3">
        <v>317</v>
      </c>
      <c r="B318" s="2">
        <v>0.26552090636445114</v>
      </c>
    </row>
    <row r="319" spans="1:2" x14ac:dyDescent="0.2">
      <c r="A319" s="3">
        <v>318</v>
      </c>
      <c r="B319" s="2">
        <v>0.75137403790359569</v>
      </c>
    </row>
    <row r="320" spans="1:2" x14ac:dyDescent="0.2">
      <c r="A320" s="3">
        <v>319</v>
      </c>
      <c r="B320" s="2">
        <v>0.26230197832353497</v>
      </c>
    </row>
    <row r="321" spans="1:2" x14ac:dyDescent="0.2">
      <c r="A321" s="3">
        <v>320</v>
      </c>
      <c r="B321" s="2">
        <v>0.30794738068320437</v>
      </c>
    </row>
    <row r="322" spans="1:2" x14ac:dyDescent="0.2">
      <c r="A322" s="3">
        <v>321</v>
      </c>
      <c r="B322" s="2">
        <v>0.96232781549935931</v>
      </c>
    </row>
    <row r="323" spans="1:2" x14ac:dyDescent="0.2">
      <c r="A323" s="3">
        <v>322</v>
      </c>
      <c r="B323" s="2">
        <v>0.10939300635785916</v>
      </c>
    </row>
    <row r="324" spans="1:2" x14ac:dyDescent="0.2">
      <c r="A324" s="3">
        <v>323</v>
      </c>
      <c r="B324" s="2">
        <v>0.28729642704815983</v>
      </c>
    </row>
    <row r="325" spans="1:2" x14ac:dyDescent="0.2">
      <c r="A325" s="3">
        <v>324</v>
      </c>
      <c r="B325" s="2">
        <v>6.4053523098900694E-2</v>
      </c>
    </row>
    <row r="326" spans="1:2" x14ac:dyDescent="0.2">
      <c r="A326" s="3">
        <v>325</v>
      </c>
      <c r="B326" s="2">
        <v>0.49198110106052345</v>
      </c>
    </row>
    <row r="327" spans="1:2" x14ac:dyDescent="0.2">
      <c r="A327" s="3">
        <v>326</v>
      </c>
      <c r="B327" s="2">
        <v>0.75744569708825582</v>
      </c>
    </row>
    <row r="328" spans="1:2" x14ac:dyDescent="0.2">
      <c r="A328" s="3">
        <v>327</v>
      </c>
      <c r="B328" s="2">
        <v>0.13277073973470221</v>
      </c>
    </row>
    <row r="329" spans="1:2" x14ac:dyDescent="0.2">
      <c r="A329" s="3">
        <v>328</v>
      </c>
      <c r="B329" s="2">
        <v>0.40961791366151307</v>
      </c>
    </row>
    <row r="330" spans="1:2" x14ac:dyDescent="0.2">
      <c r="A330" s="3">
        <v>329</v>
      </c>
      <c r="B330" s="2">
        <v>9.6241049352505562E-2</v>
      </c>
    </row>
    <row r="331" spans="1:2" x14ac:dyDescent="0.2">
      <c r="A331" s="3">
        <v>330</v>
      </c>
      <c r="B331" s="2">
        <v>1.1661563402022526E-2</v>
      </c>
    </row>
    <row r="332" spans="1:2" x14ac:dyDescent="0.2">
      <c r="A332" s="3">
        <v>331</v>
      </c>
      <c r="B332" s="2">
        <v>0.43590122082200755</v>
      </c>
    </row>
    <row r="333" spans="1:2" x14ac:dyDescent="0.2">
      <c r="A333" s="3">
        <v>332</v>
      </c>
      <c r="B333" s="2">
        <v>0.85093283635009165</v>
      </c>
    </row>
    <row r="334" spans="1:2" x14ac:dyDescent="0.2">
      <c r="A334" s="3">
        <v>333</v>
      </c>
      <c r="B334" s="2">
        <v>0.90892473875190327</v>
      </c>
    </row>
    <row r="335" spans="1:2" x14ac:dyDescent="0.2">
      <c r="A335" s="3">
        <v>334</v>
      </c>
      <c r="B335" s="2">
        <v>0.54690241259117889</v>
      </c>
    </row>
    <row r="336" spans="1:2" x14ac:dyDescent="0.2">
      <c r="A336" s="3">
        <v>335</v>
      </c>
      <c r="B336" s="2">
        <v>0.95994527247820083</v>
      </c>
    </row>
    <row r="337" spans="1:2" x14ac:dyDescent="0.2">
      <c r="A337" s="3">
        <v>336</v>
      </c>
      <c r="B337" s="2">
        <v>0.30029699653693176</v>
      </c>
    </row>
    <row r="338" spans="1:2" x14ac:dyDescent="0.2">
      <c r="A338" s="3">
        <v>337</v>
      </c>
      <c r="B338" s="2">
        <v>7.8365334488878557E-2</v>
      </c>
    </row>
    <row r="339" spans="1:2" x14ac:dyDescent="0.2">
      <c r="A339" s="3">
        <v>338</v>
      </c>
      <c r="B339" s="2">
        <v>0.3407776742699461</v>
      </c>
    </row>
    <row r="340" spans="1:2" x14ac:dyDescent="0.2">
      <c r="A340" s="3">
        <v>339</v>
      </c>
      <c r="B340" s="2">
        <v>0.58961952450020416</v>
      </c>
    </row>
    <row r="341" spans="1:2" x14ac:dyDescent="0.2">
      <c r="A341" s="3">
        <v>340</v>
      </c>
      <c r="B341" s="2">
        <v>0.86244153738960283</v>
      </c>
    </row>
    <row r="342" spans="1:2" x14ac:dyDescent="0.2">
      <c r="A342" s="3">
        <v>341</v>
      </c>
      <c r="B342" s="2">
        <v>0.78177462314979751</v>
      </c>
    </row>
    <row r="343" spans="1:2" x14ac:dyDescent="0.2">
      <c r="A343" s="3">
        <v>342</v>
      </c>
      <c r="B343" s="2">
        <v>0.29427618337028738</v>
      </c>
    </row>
    <row r="344" spans="1:2" x14ac:dyDescent="0.2">
      <c r="A344" s="3">
        <v>343</v>
      </c>
      <c r="B344" s="2">
        <v>0.16909683035509604</v>
      </c>
    </row>
    <row r="345" spans="1:2" x14ac:dyDescent="0.2">
      <c r="A345" s="3">
        <v>344</v>
      </c>
      <c r="B345" s="2">
        <v>0.73146184169439987</v>
      </c>
    </row>
    <row r="346" spans="1:2" x14ac:dyDescent="0.2">
      <c r="A346" s="3">
        <v>345</v>
      </c>
      <c r="B346" s="2">
        <v>7.1947172551499156E-2</v>
      </c>
    </row>
    <row r="347" spans="1:2" x14ac:dyDescent="0.2">
      <c r="A347" s="3">
        <v>346</v>
      </c>
      <c r="B347" s="2">
        <v>0.87095305463941386</v>
      </c>
    </row>
    <row r="348" spans="1:2" x14ac:dyDescent="0.2">
      <c r="A348" s="3">
        <v>347</v>
      </c>
      <c r="B348" s="2">
        <v>0.71288605092076718</v>
      </c>
    </row>
    <row r="349" spans="1:2" x14ac:dyDescent="0.2">
      <c r="A349" s="3">
        <v>348</v>
      </c>
      <c r="B349" s="2">
        <v>0.96182626737138055</v>
      </c>
    </row>
    <row r="350" spans="1:2" x14ac:dyDescent="0.2">
      <c r="A350" s="3">
        <v>349</v>
      </c>
      <c r="B350" s="2">
        <v>0.79260155705787128</v>
      </c>
    </row>
    <row r="351" spans="1:2" x14ac:dyDescent="0.2">
      <c r="A351" s="3">
        <v>350</v>
      </c>
      <c r="B351" s="2">
        <v>0.75620982645871393</v>
      </c>
    </row>
    <row r="352" spans="1:2" x14ac:dyDescent="0.2">
      <c r="A352" s="3">
        <v>351</v>
      </c>
      <c r="B352" s="2">
        <v>0.97513665271281003</v>
      </c>
    </row>
    <row r="353" spans="1:2" x14ac:dyDescent="0.2">
      <c r="A353" s="3">
        <v>352</v>
      </c>
      <c r="B353" s="2">
        <v>0.40817746570031455</v>
      </c>
    </row>
    <row r="354" spans="1:2" x14ac:dyDescent="0.2">
      <c r="A354" s="3">
        <v>353</v>
      </c>
      <c r="B354" s="2">
        <v>0.85814145979072931</v>
      </c>
    </row>
    <row r="355" spans="1:2" x14ac:dyDescent="0.2">
      <c r="A355" s="3">
        <v>354</v>
      </c>
      <c r="B355" s="2">
        <v>0.13956332615576666</v>
      </c>
    </row>
    <row r="356" spans="1:2" x14ac:dyDescent="0.2">
      <c r="A356" s="3">
        <v>355</v>
      </c>
      <c r="B356" s="2">
        <v>0.39780893918669319</v>
      </c>
    </row>
    <row r="357" spans="1:2" x14ac:dyDescent="0.2">
      <c r="A357" s="3">
        <v>356</v>
      </c>
      <c r="B357" s="2">
        <v>0.64824027879156243</v>
      </c>
    </row>
    <row r="358" spans="1:2" x14ac:dyDescent="0.2">
      <c r="A358" s="3">
        <v>357</v>
      </c>
      <c r="B358" s="2">
        <v>0.26582738178741716</v>
      </c>
    </row>
    <row r="359" spans="1:2" x14ac:dyDescent="0.2">
      <c r="A359" s="3">
        <v>358</v>
      </c>
      <c r="B359" s="2">
        <v>0.30010463431605938</v>
      </c>
    </row>
    <row r="360" spans="1:2" x14ac:dyDescent="0.2">
      <c r="A360" s="3">
        <v>359</v>
      </c>
      <c r="B360" s="2">
        <v>0.65577766894138079</v>
      </c>
    </row>
    <row r="361" spans="1:2" x14ac:dyDescent="0.2">
      <c r="A361" s="3">
        <v>360</v>
      </c>
      <c r="B361" s="2">
        <v>0.60692644713037947</v>
      </c>
    </row>
    <row r="362" spans="1:2" x14ac:dyDescent="0.2">
      <c r="A362" s="3">
        <v>361</v>
      </c>
      <c r="B362" s="2">
        <v>0.64225606357955067</v>
      </c>
    </row>
    <row r="363" spans="1:2" x14ac:dyDescent="0.2">
      <c r="A363" s="3">
        <v>362</v>
      </c>
      <c r="B363" s="2">
        <v>0.42559941340385921</v>
      </c>
    </row>
    <row r="364" spans="1:2" x14ac:dyDescent="0.2">
      <c r="A364" s="3">
        <v>363</v>
      </c>
      <c r="B364" s="2">
        <v>0.90080544912835969</v>
      </c>
    </row>
    <row r="365" spans="1:2" x14ac:dyDescent="0.2">
      <c r="A365" s="3">
        <v>364</v>
      </c>
      <c r="B365" s="2">
        <v>0.38898532930094809</v>
      </c>
    </row>
    <row r="366" spans="1:2" x14ac:dyDescent="0.2">
      <c r="A366" s="3">
        <v>365</v>
      </c>
      <c r="B366" s="2">
        <v>0.52778938461048586</v>
      </c>
    </row>
    <row r="367" spans="1:2" x14ac:dyDescent="0.2">
      <c r="A367" s="3">
        <v>366</v>
      </c>
      <c r="B367" s="2">
        <v>0.18201370291241578</v>
      </c>
    </row>
    <row r="368" spans="1:2" x14ac:dyDescent="0.2">
      <c r="A368" s="3">
        <v>367</v>
      </c>
      <c r="B368" s="2">
        <v>0.35089225147696568</v>
      </c>
    </row>
    <row r="369" spans="1:2" x14ac:dyDescent="0.2">
      <c r="A369" s="3">
        <v>368</v>
      </c>
      <c r="B369" s="2">
        <v>0.25605104478945018</v>
      </c>
    </row>
    <row r="370" spans="1:2" x14ac:dyDescent="0.2">
      <c r="A370" s="3">
        <v>369</v>
      </c>
      <c r="B370" s="2">
        <v>0.65083273631133021</v>
      </c>
    </row>
    <row r="371" spans="1:2" x14ac:dyDescent="0.2">
      <c r="A371" s="3">
        <v>370</v>
      </c>
      <c r="B371" s="2">
        <v>0.56299418290656189</v>
      </c>
    </row>
    <row r="372" spans="1:2" x14ac:dyDescent="0.2">
      <c r="A372" s="3">
        <v>371</v>
      </c>
      <c r="B372" s="2">
        <v>0.51341368365891871</v>
      </c>
    </row>
    <row r="373" spans="1:2" x14ac:dyDescent="0.2">
      <c r="A373" s="3">
        <v>372</v>
      </c>
      <c r="B373" s="2">
        <v>0.33164715365466602</v>
      </c>
    </row>
    <row r="374" spans="1:2" x14ac:dyDescent="0.2">
      <c r="A374" s="3">
        <v>373</v>
      </c>
      <c r="B374" s="2">
        <v>0.15745796192164196</v>
      </c>
    </row>
    <row r="375" spans="1:2" x14ac:dyDescent="0.2">
      <c r="A375" s="3">
        <v>374</v>
      </c>
      <c r="B375" s="2">
        <v>0.64218618029878005</v>
      </c>
    </row>
    <row r="376" spans="1:2" x14ac:dyDescent="0.2">
      <c r="A376" s="3">
        <v>375</v>
      </c>
      <c r="B376" s="2">
        <v>0.72141050601756085</v>
      </c>
    </row>
    <row r="377" spans="1:2" x14ac:dyDescent="0.2">
      <c r="A377" s="3">
        <v>376</v>
      </c>
      <c r="B377" s="2">
        <v>0.55589799766940284</v>
      </c>
    </row>
    <row r="378" spans="1:2" x14ac:dyDescent="0.2">
      <c r="A378" s="3">
        <v>377</v>
      </c>
      <c r="B378" s="2">
        <v>0.6844342151379581</v>
      </c>
    </row>
    <row r="379" spans="1:2" x14ac:dyDescent="0.2">
      <c r="A379" s="3">
        <v>378</v>
      </c>
      <c r="B379" s="2">
        <v>8.4867645917448803E-2</v>
      </c>
    </row>
    <row r="380" spans="1:2" x14ac:dyDescent="0.2">
      <c r="A380" s="3">
        <v>379</v>
      </c>
      <c r="B380" s="2">
        <v>0.77193380498425135</v>
      </c>
    </row>
    <row r="381" spans="1:2" x14ac:dyDescent="0.2">
      <c r="A381" s="3">
        <v>380</v>
      </c>
      <c r="B381" s="2">
        <v>0.55180118242029863</v>
      </c>
    </row>
    <row r="382" spans="1:2" x14ac:dyDescent="0.2">
      <c r="A382" s="3">
        <v>381</v>
      </c>
      <c r="B382" s="2">
        <v>0.93648559422364852</v>
      </c>
    </row>
    <row r="383" spans="1:2" x14ac:dyDescent="0.2">
      <c r="A383" s="3">
        <v>382</v>
      </c>
      <c r="B383" s="2">
        <v>0.58877403711148535</v>
      </c>
    </row>
    <row r="384" spans="1:2" x14ac:dyDescent="0.2">
      <c r="A384" s="3">
        <v>383</v>
      </c>
      <c r="B384" s="2">
        <v>0.55170996381959803</v>
      </c>
    </row>
    <row r="385" spans="1:2" x14ac:dyDescent="0.2">
      <c r="A385" s="3">
        <v>384</v>
      </c>
      <c r="B385" s="2">
        <v>0.10280075345416867</v>
      </c>
    </row>
    <row r="386" spans="1:2" x14ac:dyDescent="0.2">
      <c r="A386" s="3">
        <v>385</v>
      </c>
      <c r="B386" s="2">
        <v>0.12891110938577927</v>
      </c>
    </row>
    <row r="387" spans="1:2" x14ac:dyDescent="0.2">
      <c r="A387" s="3">
        <v>386</v>
      </c>
      <c r="B387" s="2">
        <v>0.55586491142545247</v>
      </c>
    </row>
    <row r="388" spans="1:2" x14ac:dyDescent="0.2">
      <c r="A388" s="3">
        <v>387</v>
      </c>
      <c r="B388" s="2">
        <v>0.66394473192485592</v>
      </c>
    </row>
    <row r="389" spans="1:2" x14ac:dyDescent="0.2">
      <c r="A389" s="3">
        <v>388</v>
      </c>
      <c r="B389" s="2">
        <v>9.3725075533222513E-2</v>
      </c>
    </row>
    <row r="390" spans="1:2" x14ac:dyDescent="0.2">
      <c r="A390" s="3">
        <v>389</v>
      </c>
      <c r="B390" s="2">
        <v>0.50302597983380115</v>
      </c>
    </row>
    <row r="391" spans="1:2" x14ac:dyDescent="0.2">
      <c r="A391" s="3">
        <v>390</v>
      </c>
      <c r="B391" s="2">
        <v>0.63275223939442726</v>
      </c>
    </row>
    <row r="392" spans="1:2" x14ac:dyDescent="0.2">
      <c r="A392" s="3">
        <v>391</v>
      </c>
      <c r="B392" s="2">
        <v>0.46833566381573594</v>
      </c>
    </row>
    <row r="393" spans="1:2" x14ac:dyDescent="0.2">
      <c r="A393" s="3">
        <v>392</v>
      </c>
      <c r="B393" s="2">
        <v>0.14938886891523534</v>
      </c>
    </row>
    <row r="394" spans="1:2" x14ac:dyDescent="0.2">
      <c r="A394" s="3">
        <v>393</v>
      </c>
      <c r="B394" s="2">
        <v>0.54217285837807427</v>
      </c>
    </row>
    <row r="395" spans="1:2" x14ac:dyDescent="0.2">
      <c r="A395" s="3">
        <v>394</v>
      </c>
      <c r="B395" s="2">
        <v>9.2779575913576218E-2</v>
      </c>
    </row>
    <row r="396" spans="1:2" x14ac:dyDescent="0.2">
      <c r="A396" s="3">
        <v>395</v>
      </c>
      <c r="B396" s="2">
        <v>0.23548001873329749</v>
      </c>
    </row>
    <row r="397" spans="1:2" x14ac:dyDescent="0.2">
      <c r="A397" s="3">
        <v>396</v>
      </c>
      <c r="B397" s="2">
        <v>1.3902864651789673E-3</v>
      </c>
    </row>
    <row r="398" spans="1:2" x14ac:dyDescent="0.2">
      <c r="A398" s="3">
        <v>397</v>
      </c>
      <c r="B398" s="2">
        <v>0.15920133267894768</v>
      </c>
    </row>
    <row r="399" spans="1:2" x14ac:dyDescent="0.2">
      <c r="A399" s="3">
        <v>398</v>
      </c>
      <c r="B399" s="2">
        <v>0.89206268455085846</v>
      </c>
    </row>
    <row r="400" spans="1:2" x14ac:dyDescent="0.2">
      <c r="A400" s="3">
        <v>399</v>
      </c>
      <c r="B400" s="2">
        <v>6.5725150208925956E-2</v>
      </c>
    </row>
    <row r="401" spans="1:2" x14ac:dyDescent="0.2">
      <c r="A401" s="3">
        <v>400</v>
      </c>
      <c r="B401" s="2">
        <v>0.31043834290088146</v>
      </c>
    </row>
    <row r="402" spans="1:2" x14ac:dyDescent="0.2">
      <c r="A402" s="3">
        <v>401</v>
      </c>
      <c r="B402" s="2">
        <v>0.88482751953828565</v>
      </c>
    </row>
    <row r="403" spans="1:2" x14ac:dyDescent="0.2">
      <c r="A403" s="3">
        <v>402</v>
      </c>
      <c r="B403" s="2">
        <v>0.12893763443297088</v>
      </c>
    </row>
    <row r="404" spans="1:2" x14ac:dyDescent="0.2">
      <c r="A404" s="3">
        <v>403</v>
      </c>
      <c r="B404" s="2">
        <v>0.59723762368011046</v>
      </c>
    </row>
    <row r="405" spans="1:2" x14ac:dyDescent="0.2">
      <c r="A405" s="3">
        <v>404</v>
      </c>
      <c r="B405" s="2">
        <v>0.50795603013518442</v>
      </c>
    </row>
    <row r="406" spans="1:2" x14ac:dyDescent="0.2">
      <c r="A406" s="3">
        <v>405</v>
      </c>
      <c r="B406" s="2">
        <v>0.58513321647432348</v>
      </c>
    </row>
    <row r="407" spans="1:2" x14ac:dyDescent="0.2">
      <c r="A407" s="3">
        <v>406</v>
      </c>
      <c r="B407" s="2">
        <v>7.2625610855821726E-2</v>
      </c>
    </row>
    <row r="408" spans="1:2" x14ac:dyDescent="0.2">
      <c r="A408" s="3">
        <v>407</v>
      </c>
      <c r="B408" s="2">
        <v>0.2076670958890354</v>
      </c>
    </row>
    <row r="409" spans="1:2" x14ac:dyDescent="0.2">
      <c r="A409" s="3">
        <v>408</v>
      </c>
      <c r="B409" s="2">
        <v>6.8624827464490992E-3</v>
      </c>
    </row>
    <row r="410" spans="1:2" x14ac:dyDescent="0.2">
      <c r="A410" s="3">
        <v>409</v>
      </c>
      <c r="B410" s="2">
        <v>0.32116673514957511</v>
      </c>
    </row>
    <row r="411" spans="1:2" x14ac:dyDescent="0.2">
      <c r="A411" s="3">
        <v>410</v>
      </c>
      <c r="B411" s="2">
        <v>0.92076036332104438</v>
      </c>
    </row>
    <row r="412" spans="1:2" x14ac:dyDescent="0.2">
      <c r="A412" s="3">
        <v>411</v>
      </c>
      <c r="B412" s="2">
        <v>0.79565011309649358</v>
      </c>
    </row>
    <row r="413" spans="1:2" x14ac:dyDescent="0.2">
      <c r="A413" s="3">
        <v>412</v>
      </c>
      <c r="B413" s="2">
        <v>0.78716934756146295</v>
      </c>
    </row>
    <row r="414" spans="1:2" x14ac:dyDescent="0.2">
      <c r="A414" s="3">
        <v>413</v>
      </c>
      <c r="B414" s="2">
        <v>0.18593983359540409</v>
      </c>
    </row>
    <row r="415" spans="1:2" x14ac:dyDescent="0.2">
      <c r="A415" s="3">
        <v>414</v>
      </c>
      <c r="B415" s="2">
        <v>0.49205140963962984</v>
      </c>
    </row>
    <row r="416" spans="1:2" x14ac:dyDescent="0.2">
      <c r="A416" s="3">
        <v>415</v>
      </c>
      <c r="B416" s="2">
        <v>6.5451095443147755E-2</v>
      </c>
    </row>
    <row r="417" spans="1:2" x14ac:dyDescent="0.2">
      <c r="A417" s="3">
        <v>416</v>
      </c>
      <c r="B417" s="2">
        <v>8.7877764749969431E-2</v>
      </c>
    </row>
    <row r="418" spans="1:2" x14ac:dyDescent="0.2">
      <c r="A418" s="3">
        <v>417</v>
      </c>
      <c r="B418" s="2">
        <v>0.93660801001671401</v>
      </c>
    </row>
    <row r="419" spans="1:2" x14ac:dyDescent="0.2">
      <c r="A419" s="3">
        <v>418</v>
      </c>
      <c r="B419" s="2">
        <v>0.45230477804731101</v>
      </c>
    </row>
    <row r="420" spans="1:2" x14ac:dyDescent="0.2">
      <c r="A420" s="3">
        <v>419</v>
      </c>
      <c r="B420" s="2">
        <v>0.99591004902538594</v>
      </c>
    </row>
    <row r="421" spans="1:2" x14ac:dyDescent="0.2">
      <c r="A421" s="3">
        <v>420</v>
      </c>
      <c r="B421" s="2">
        <v>0.73795090681102016</v>
      </c>
    </row>
    <row r="422" spans="1:2" x14ac:dyDescent="0.2">
      <c r="A422" s="3">
        <v>421</v>
      </c>
      <c r="B422" s="2">
        <v>0.32006092525186536</v>
      </c>
    </row>
    <row r="423" spans="1:2" x14ac:dyDescent="0.2">
      <c r="A423" s="3">
        <v>422</v>
      </c>
      <c r="B423" s="2">
        <v>0.16340374366758853</v>
      </c>
    </row>
    <row r="424" spans="1:2" x14ac:dyDescent="0.2">
      <c r="A424" s="3">
        <v>423</v>
      </c>
      <c r="B424" s="2">
        <v>0.96318738463645703</v>
      </c>
    </row>
    <row r="425" spans="1:2" x14ac:dyDescent="0.2">
      <c r="A425" s="3">
        <v>424</v>
      </c>
      <c r="B425" s="2">
        <v>0.98812162449288499</v>
      </c>
    </row>
    <row r="426" spans="1:2" x14ac:dyDescent="0.2">
      <c r="A426" s="3">
        <v>425</v>
      </c>
      <c r="B426" s="2">
        <v>0.1484101661282245</v>
      </c>
    </row>
    <row r="427" spans="1:2" x14ac:dyDescent="0.2">
      <c r="A427" s="3">
        <v>426</v>
      </c>
      <c r="B427" s="2">
        <v>0.223674898261009</v>
      </c>
    </row>
    <row r="428" spans="1:2" x14ac:dyDescent="0.2">
      <c r="A428" s="3">
        <v>427</v>
      </c>
      <c r="B428" s="2">
        <v>0.52127995394423388</v>
      </c>
    </row>
    <row r="429" spans="1:2" x14ac:dyDescent="0.2">
      <c r="A429" s="3">
        <v>428</v>
      </c>
      <c r="B429" s="2">
        <v>0.36929498731024113</v>
      </c>
    </row>
    <row r="430" spans="1:2" x14ac:dyDescent="0.2">
      <c r="A430" s="3">
        <v>429</v>
      </c>
      <c r="B430" s="2">
        <v>0.80208574248649689</v>
      </c>
    </row>
    <row r="431" spans="1:2" x14ac:dyDescent="0.2">
      <c r="A431" s="3">
        <v>430</v>
      </c>
      <c r="B431" s="2">
        <v>0.59745054014780341</v>
      </c>
    </row>
    <row r="432" spans="1:2" x14ac:dyDescent="0.2">
      <c r="A432" s="3">
        <v>431</v>
      </c>
      <c r="B432" s="2">
        <v>0.27162412869033814</v>
      </c>
    </row>
    <row r="433" spans="1:2" x14ac:dyDescent="0.2">
      <c r="A433" s="3">
        <v>432</v>
      </c>
      <c r="B433" s="2">
        <v>0.67971388377627517</v>
      </c>
    </row>
    <row r="434" spans="1:2" x14ac:dyDescent="0.2">
      <c r="A434" s="3">
        <v>433</v>
      </c>
      <c r="B434" s="2">
        <v>0.83001230961470707</v>
      </c>
    </row>
    <row r="435" spans="1:2" x14ac:dyDescent="0.2">
      <c r="A435" s="3">
        <v>434</v>
      </c>
      <c r="B435" s="2">
        <v>0.95600520295575209</v>
      </c>
    </row>
    <row r="436" spans="1:2" x14ac:dyDescent="0.2">
      <c r="A436" s="3">
        <v>435</v>
      </c>
      <c r="B436" s="2">
        <v>0.85247156056118722</v>
      </c>
    </row>
    <row r="437" spans="1:2" x14ac:dyDescent="0.2">
      <c r="A437" s="3">
        <v>436</v>
      </c>
      <c r="B437" s="2">
        <v>0.36990325434249682</v>
      </c>
    </row>
    <row r="438" spans="1:2" x14ac:dyDescent="0.2">
      <c r="A438" s="3">
        <v>437</v>
      </c>
      <c r="B438" s="2">
        <v>0.86556784040125634</v>
      </c>
    </row>
    <row r="439" spans="1:2" x14ac:dyDescent="0.2">
      <c r="A439" s="3">
        <v>438</v>
      </c>
      <c r="B439" s="2">
        <v>0.53834464880946453</v>
      </c>
    </row>
    <row r="440" spans="1:2" x14ac:dyDescent="0.2">
      <c r="A440" s="3">
        <v>439</v>
      </c>
      <c r="B440" s="2">
        <v>1.1904404789383585E-2</v>
      </c>
    </row>
    <row r="441" spans="1:2" x14ac:dyDescent="0.2">
      <c r="A441" s="3">
        <v>440</v>
      </c>
      <c r="B441" s="2">
        <v>0.79357808137202324</v>
      </c>
    </row>
    <row r="442" spans="1:2" x14ac:dyDescent="0.2">
      <c r="A442" s="3">
        <v>441</v>
      </c>
      <c r="B442" s="2">
        <v>0.2630765428987778</v>
      </c>
    </row>
    <row r="443" spans="1:2" x14ac:dyDescent="0.2">
      <c r="A443" s="3">
        <v>442</v>
      </c>
      <c r="B443" s="2">
        <v>0.51711248383375896</v>
      </c>
    </row>
    <row r="444" spans="1:2" x14ac:dyDescent="0.2">
      <c r="A444" s="3">
        <v>443</v>
      </c>
      <c r="B444" s="2">
        <v>0.6430267393168313</v>
      </c>
    </row>
    <row r="445" spans="1:2" x14ac:dyDescent="0.2">
      <c r="A445" s="3">
        <v>444</v>
      </c>
      <c r="B445" s="2">
        <v>0.69304255552522687</v>
      </c>
    </row>
    <row r="446" spans="1:2" x14ac:dyDescent="0.2">
      <c r="A446" s="3">
        <v>445</v>
      </c>
      <c r="B446" s="2">
        <v>0.48268441408418733</v>
      </c>
    </row>
    <row r="447" spans="1:2" x14ac:dyDescent="0.2">
      <c r="A447" s="3">
        <v>446</v>
      </c>
      <c r="B447" s="2">
        <v>0.14554529243961992</v>
      </c>
    </row>
    <row r="448" spans="1:2" x14ac:dyDescent="0.2">
      <c r="A448" s="3">
        <v>447</v>
      </c>
      <c r="B448" s="2">
        <v>0.33802498188654495</v>
      </c>
    </row>
    <row r="449" spans="1:2" x14ac:dyDescent="0.2">
      <c r="A449" s="3">
        <v>448</v>
      </c>
      <c r="B449" s="2">
        <v>0.952156571866834</v>
      </c>
    </row>
    <row r="450" spans="1:2" x14ac:dyDescent="0.2">
      <c r="A450" s="3">
        <v>449</v>
      </c>
      <c r="B450" s="2">
        <v>0.81106337936149775</v>
      </c>
    </row>
    <row r="451" spans="1:2" x14ac:dyDescent="0.2">
      <c r="A451" s="3">
        <v>450</v>
      </c>
      <c r="B451" s="2">
        <v>0.27246493959894358</v>
      </c>
    </row>
    <row r="452" spans="1:2" x14ac:dyDescent="0.2">
      <c r="A452" s="3">
        <v>451</v>
      </c>
      <c r="B452" s="2">
        <v>0.85362030479015016</v>
      </c>
    </row>
    <row r="453" spans="1:2" x14ac:dyDescent="0.2">
      <c r="A453" s="3">
        <v>452</v>
      </c>
      <c r="B453" s="2">
        <v>0.41783617930958949</v>
      </c>
    </row>
    <row r="454" spans="1:2" x14ac:dyDescent="0.2">
      <c r="A454" s="3">
        <v>453</v>
      </c>
      <c r="B454" s="2">
        <v>0.16822975318031108</v>
      </c>
    </row>
    <row r="455" spans="1:2" x14ac:dyDescent="0.2">
      <c r="A455" s="3">
        <v>454</v>
      </c>
      <c r="B455" s="2">
        <v>0.5925524500454058</v>
      </c>
    </row>
    <row r="456" spans="1:2" x14ac:dyDescent="0.2">
      <c r="A456" s="3">
        <v>455</v>
      </c>
      <c r="B456" s="2">
        <v>0.32193631359753527</v>
      </c>
    </row>
    <row r="457" spans="1:2" x14ac:dyDescent="0.2">
      <c r="A457" s="3">
        <v>456</v>
      </c>
      <c r="B457" s="2">
        <v>0.70035958003008658</v>
      </c>
    </row>
    <row r="458" spans="1:2" x14ac:dyDescent="0.2">
      <c r="A458" s="3">
        <v>457</v>
      </c>
      <c r="B458" s="2">
        <v>5.4418229233096672E-2</v>
      </c>
    </row>
    <row r="459" spans="1:2" x14ac:dyDescent="0.2">
      <c r="A459" s="3">
        <v>458</v>
      </c>
      <c r="B459" s="2">
        <v>0.29259907658289053</v>
      </c>
    </row>
    <row r="460" spans="1:2" x14ac:dyDescent="0.2">
      <c r="A460" s="3">
        <v>459</v>
      </c>
      <c r="B460" s="2">
        <v>0.49152673980998557</v>
      </c>
    </row>
    <row r="461" spans="1:2" x14ac:dyDescent="0.2">
      <c r="A461" s="3">
        <v>460</v>
      </c>
      <c r="B461" s="2">
        <v>0.55421245941301245</v>
      </c>
    </row>
    <row r="462" spans="1:2" x14ac:dyDescent="0.2">
      <c r="A462" s="3">
        <v>461</v>
      </c>
      <c r="B462" s="2">
        <v>0.38008856651685513</v>
      </c>
    </row>
    <row r="463" spans="1:2" x14ac:dyDescent="0.2">
      <c r="A463" s="3">
        <v>462</v>
      </c>
      <c r="B463" s="2">
        <v>0.94966152725223019</v>
      </c>
    </row>
    <row r="464" spans="1:2" x14ac:dyDescent="0.2">
      <c r="A464" s="3">
        <v>463</v>
      </c>
      <c r="B464" s="2">
        <v>0.42441603695514396</v>
      </c>
    </row>
    <row r="465" spans="1:2" x14ac:dyDescent="0.2">
      <c r="A465" s="3">
        <v>464</v>
      </c>
      <c r="B465" s="2">
        <v>0.57886102401840245</v>
      </c>
    </row>
    <row r="466" spans="1:2" x14ac:dyDescent="0.2">
      <c r="A466" s="3">
        <v>465</v>
      </c>
      <c r="B466" s="2">
        <v>0.68752060272430082</v>
      </c>
    </row>
    <row r="467" spans="1:2" x14ac:dyDescent="0.2">
      <c r="A467" s="3">
        <v>466</v>
      </c>
      <c r="B467" s="2">
        <v>0.58010741512074049</v>
      </c>
    </row>
    <row r="468" spans="1:2" x14ac:dyDescent="0.2">
      <c r="A468" s="3">
        <v>467</v>
      </c>
      <c r="B468" s="2">
        <v>0.30464953152863311</v>
      </c>
    </row>
    <row r="469" spans="1:2" x14ac:dyDescent="0.2">
      <c r="A469" s="3">
        <v>468</v>
      </c>
      <c r="B469" s="2">
        <v>7.1995010845461629E-2</v>
      </c>
    </row>
    <row r="470" spans="1:2" x14ac:dyDescent="0.2">
      <c r="A470" s="3">
        <v>469</v>
      </c>
      <c r="B470" s="2">
        <v>0.88583536161315168</v>
      </c>
    </row>
    <row r="471" spans="1:2" x14ac:dyDescent="0.2">
      <c r="A471" s="3">
        <v>470</v>
      </c>
      <c r="B471" s="2">
        <v>0.58855477197158179</v>
      </c>
    </row>
    <row r="472" spans="1:2" x14ac:dyDescent="0.2">
      <c r="A472" s="3">
        <v>471</v>
      </c>
      <c r="B472" s="2">
        <v>0.44410485859845689</v>
      </c>
    </row>
    <row r="473" spans="1:2" x14ac:dyDescent="0.2">
      <c r="A473" s="3">
        <v>472</v>
      </c>
      <c r="B473" s="2">
        <v>0.77820659713618423</v>
      </c>
    </row>
    <row r="474" spans="1:2" x14ac:dyDescent="0.2">
      <c r="A474" s="3">
        <v>473</v>
      </c>
      <c r="B474" s="2">
        <v>0.59516824968944471</v>
      </c>
    </row>
    <row r="475" spans="1:2" x14ac:dyDescent="0.2">
      <c r="A475" s="3">
        <v>474</v>
      </c>
      <c r="B475" s="2">
        <v>6.1222372197279815E-2</v>
      </c>
    </row>
    <row r="476" spans="1:2" x14ac:dyDescent="0.2">
      <c r="A476" s="3">
        <v>475</v>
      </c>
      <c r="B476" s="2">
        <v>0.5049916700963335</v>
      </c>
    </row>
    <row r="477" spans="1:2" x14ac:dyDescent="0.2">
      <c r="A477" s="3">
        <v>476</v>
      </c>
      <c r="B477" s="2">
        <v>0.32039536145273312</v>
      </c>
    </row>
    <row r="478" spans="1:2" x14ac:dyDescent="0.2">
      <c r="A478" s="3">
        <v>477</v>
      </c>
      <c r="B478" s="2">
        <v>0.50778935185012286</v>
      </c>
    </row>
    <row r="479" spans="1:2" x14ac:dyDescent="0.2">
      <c r="A479" s="3">
        <v>478</v>
      </c>
      <c r="B479" s="2">
        <v>0.44263070316929354</v>
      </c>
    </row>
    <row r="480" spans="1:2" x14ac:dyDescent="0.2">
      <c r="A480" s="3">
        <v>479</v>
      </c>
      <c r="B480" s="2">
        <v>0.30189639972145277</v>
      </c>
    </row>
    <row r="481" spans="1:2" x14ac:dyDescent="0.2">
      <c r="A481" s="3">
        <v>480</v>
      </c>
      <c r="B481" s="2">
        <v>0.71520450314496609</v>
      </c>
    </row>
    <row r="482" spans="1:2" x14ac:dyDescent="0.2">
      <c r="A482" s="3">
        <v>481</v>
      </c>
      <c r="B482" s="2">
        <v>0.81315076677285303</v>
      </c>
    </row>
    <row r="483" spans="1:2" x14ac:dyDescent="0.2">
      <c r="A483" s="3">
        <v>482</v>
      </c>
      <c r="B483" s="2">
        <v>0.70124202808032265</v>
      </c>
    </row>
    <row r="484" spans="1:2" x14ac:dyDescent="0.2">
      <c r="A484" s="3">
        <v>483</v>
      </c>
      <c r="B484" s="2">
        <v>0.41908702461829067</v>
      </c>
    </row>
    <row r="485" spans="1:2" x14ac:dyDescent="0.2">
      <c r="A485" s="3">
        <v>484</v>
      </c>
      <c r="B485" s="2">
        <v>0.66845436709384298</v>
      </c>
    </row>
    <row r="486" spans="1:2" x14ac:dyDescent="0.2">
      <c r="A486" s="3">
        <v>485</v>
      </c>
      <c r="B486" s="2">
        <v>0.44811076462281663</v>
      </c>
    </row>
    <row r="487" spans="1:2" x14ac:dyDescent="0.2">
      <c r="A487" s="3">
        <v>486</v>
      </c>
      <c r="B487" s="2">
        <v>0.65094748261419388</v>
      </c>
    </row>
    <row r="488" spans="1:2" x14ac:dyDescent="0.2">
      <c r="A488" s="3">
        <v>487</v>
      </c>
      <c r="B488" s="2">
        <v>8.4052377520280705E-2</v>
      </c>
    </row>
    <row r="489" spans="1:2" x14ac:dyDescent="0.2">
      <c r="A489" s="3">
        <v>488</v>
      </c>
      <c r="B489" s="2">
        <v>0.95657617627002067</v>
      </c>
    </row>
    <row r="490" spans="1:2" x14ac:dyDescent="0.2">
      <c r="A490" s="3">
        <v>489</v>
      </c>
      <c r="B490" s="2">
        <v>0.64261474003182273</v>
      </c>
    </row>
    <row r="491" spans="1:2" x14ac:dyDescent="0.2">
      <c r="A491" s="3">
        <v>490</v>
      </c>
      <c r="B491" s="2">
        <v>0.33468071791987342</v>
      </c>
    </row>
    <row r="492" spans="1:2" x14ac:dyDescent="0.2">
      <c r="A492" s="3">
        <v>491</v>
      </c>
      <c r="B492" s="2">
        <v>0.93466843742852923</v>
      </c>
    </row>
    <row r="493" spans="1:2" x14ac:dyDescent="0.2">
      <c r="A493" s="3">
        <v>492</v>
      </c>
      <c r="B493" s="2">
        <v>0.79074393332392479</v>
      </c>
    </row>
    <row r="494" spans="1:2" x14ac:dyDescent="0.2">
      <c r="A494" s="3">
        <v>493</v>
      </c>
      <c r="B494" s="2">
        <v>0.61149291870420863</v>
      </c>
    </row>
    <row r="495" spans="1:2" x14ac:dyDescent="0.2">
      <c r="A495" s="3">
        <v>494</v>
      </c>
      <c r="B495" s="2">
        <v>0.6738233123401739</v>
      </c>
    </row>
    <row r="496" spans="1:2" x14ac:dyDescent="0.2">
      <c r="A496" s="3">
        <v>495</v>
      </c>
      <c r="B496" s="2">
        <v>0.40907805469083197</v>
      </c>
    </row>
    <row r="497" spans="1:2" x14ac:dyDescent="0.2">
      <c r="A497" s="3">
        <v>496</v>
      </c>
      <c r="B497" s="2">
        <v>0.18369073196252608</v>
      </c>
    </row>
    <row r="498" spans="1:2" x14ac:dyDescent="0.2">
      <c r="A498" s="3">
        <v>497</v>
      </c>
      <c r="B498" s="2">
        <v>0.42660681301396647</v>
      </c>
    </row>
    <row r="499" spans="1:2" x14ac:dyDescent="0.2">
      <c r="A499" s="3">
        <v>498</v>
      </c>
      <c r="B499" s="2">
        <v>0.1595625409319695</v>
      </c>
    </row>
    <row r="500" spans="1:2" x14ac:dyDescent="0.2">
      <c r="A500" s="3">
        <v>499</v>
      </c>
      <c r="B500" s="2">
        <v>5.5373077342425733E-2</v>
      </c>
    </row>
    <row r="501" spans="1:2" x14ac:dyDescent="0.2">
      <c r="A501" s="3">
        <v>500</v>
      </c>
      <c r="B501" s="2">
        <v>0.34232621882214909</v>
      </c>
    </row>
    <row r="502" spans="1:2" x14ac:dyDescent="0.2">
      <c r="A502" s="3">
        <v>501</v>
      </c>
      <c r="B502" s="2">
        <v>0.71883092452846742</v>
      </c>
    </row>
    <row r="503" spans="1:2" x14ac:dyDescent="0.2">
      <c r="A503" s="3">
        <v>502</v>
      </c>
      <c r="B503" s="2">
        <v>0.21570068607762255</v>
      </c>
    </row>
    <row r="504" spans="1:2" x14ac:dyDescent="0.2">
      <c r="A504" s="3">
        <v>503</v>
      </c>
      <c r="B504" s="2">
        <v>0.60108893504848959</v>
      </c>
    </row>
    <row r="505" spans="1:2" x14ac:dyDescent="0.2">
      <c r="A505" s="3">
        <v>504</v>
      </c>
      <c r="B505" s="2">
        <v>7.0135419844193567E-2</v>
      </c>
    </row>
    <row r="506" spans="1:2" x14ac:dyDescent="0.2">
      <c r="A506" s="3">
        <v>505</v>
      </c>
      <c r="B506" s="2">
        <v>0.18094899796675371</v>
      </c>
    </row>
    <row r="507" spans="1:2" x14ac:dyDescent="0.2">
      <c r="A507" s="3">
        <v>506</v>
      </c>
      <c r="B507" s="2">
        <v>6.1081562196589625E-2</v>
      </c>
    </row>
    <row r="508" spans="1:2" x14ac:dyDescent="0.2">
      <c r="A508" s="3">
        <v>507</v>
      </c>
      <c r="B508" s="2">
        <v>0.6037245810186036</v>
      </c>
    </row>
    <row r="509" spans="1:2" x14ac:dyDescent="0.2">
      <c r="A509" s="3">
        <v>508</v>
      </c>
      <c r="B509" s="2">
        <v>0.86242582497745746</v>
      </c>
    </row>
    <row r="510" spans="1:2" x14ac:dyDescent="0.2">
      <c r="A510" s="3">
        <v>509</v>
      </c>
      <c r="B510" s="2">
        <v>0.53251640718158066</v>
      </c>
    </row>
    <row r="511" spans="1:2" x14ac:dyDescent="0.2">
      <c r="A511" s="3">
        <v>510</v>
      </c>
      <c r="B511" s="2">
        <v>0.23578619161898207</v>
      </c>
    </row>
    <row r="512" spans="1:2" x14ac:dyDescent="0.2">
      <c r="A512" s="3">
        <v>511</v>
      </c>
      <c r="B512" s="2">
        <v>0.89640372105776267</v>
      </c>
    </row>
    <row r="513" spans="1:2" x14ac:dyDescent="0.2">
      <c r="A513" s="3">
        <v>512</v>
      </c>
      <c r="B513" s="2">
        <v>0.58837635731930038</v>
      </c>
    </row>
    <row r="514" spans="1:2" x14ac:dyDescent="0.2">
      <c r="A514" s="3">
        <v>513</v>
      </c>
      <c r="B514" s="2">
        <v>0.90915520010360684</v>
      </c>
    </row>
    <row r="515" spans="1:2" x14ac:dyDescent="0.2">
      <c r="A515" s="3">
        <v>514</v>
      </c>
      <c r="B515" s="2">
        <v>0.34191386704937943</v>
      </c>
    </row>
    <row r="516" spans="1:2" x14ac:dyDescent="0.2">
      <c r="A516" s="3">
        <v>515</v>
      </c>
      <c r="B516" s="2">
        <v>0.53464854005277518</v>
      </c>
    </row>
    <row r="517" spans="1:2" x14ac:dyDescent="0.2">
      <c r="A517" s="3">
        <v>516</v>
      </c>
      <c r="B517" s="2">
        <v>0.66794280756735958</v>
      </c>
    </row>
    <row r="518" spans="1:2" x14ac:dyDescent="0.2">
      <c r="A518" s="3">
        <v>517</v>
      </c>
      <c r="B518" s="2">
        <v>0.92487794068926921</v>
      </c>
    </row>
    <row r="519" spans="1:2" x14ac:dyDescent="0.2">
      <c r="A519" s="3">
        <v>518</v>
      </c>
      <c r="B519" s="2">
        <v>0.69899038723931095</v>
      </c>
    </row>
    <row r="520" spans="1:2" x14ac:dyDescent="0.2">
      <c r="A520" s="3">
        <v>519</v>
      </c>
      <c r="B520" s="2">
        <v>0.94220686603099235</v>
      </c>
    </row>
    <row r="521" spans="1:2" x14ac:dyDescent="0.2">
      <c r="A521" s="3">
        <v>520</v>
      </c>
      <c r="B521" s="2">
        <v>0.77181862041696492</v>
      </c>
    </row>
    <row r="522" spans="1:2" x14ac:dyDescent="0.2">
      <c r="A522" s="3">
        <v>521</v>
      </c>
      <c r="B522" s="2">
        <v>0.1732690071997274</v>
      </c>
    </row>
    <row r="523" spans="1:2" x14ac:dyDescent="0.2">
      <c r="A523" s="3">
        <v>522</v>
      </c>
      <c r="B523" s="2">
        <v>0.97953772583076382</v>
      </c>
    </row>
    <row r="524" spans="1:2" x14ac:dyDescent="0.2">
      <c r="A524" s="3">
        <v>523</v>
      </c>
      <c r="B524" s="2">
        <v>0.58161804946266571</v>
      </c>
    </row>
    <row r="525" spans="1:2" x14ac:dyDescent="0.2">
      <c r="A525" s="3">
        <v>524</v>
      </c>
      <c r="B525" s="2">
        <v>0.46728868868716228</v>
      </c>
    </row>
    <row r="526" spans="1:2" x14ac:dyDescent="0.2">
      <c r="A526" s="3">
        <v>525</v>
      </c>
      <c r="B526" s="2">
        <v>0.33071811056195566</v>
      </c>
    </row>
    <row r="527" spans="1:2" x14ac:dyDescent="0.2">
      <c r="A527" s="3">
        <v>526</v>
      </c>
      <c r="B527" s="2">
        <v>0.25567688729811211</v>
      </c>
    </row>
    <row r="528" spans="1:2" x14ac:dyDescent="0.2">
      <c r="A528" s="3">
        <v>527</v>
      </c>
      <c r="B528" s="2">
        <v>0.42442153136474803</v>
      </c>
    </row>
    <row r="529" spans="1:2" x14ac:dyDescent="0.2">
      <c r="A529" s="3">
        <v>528</v>
      </c>
      <c r="B529" s="2">
        <v>0.60572935213575829</v>
      </c>
    </row>
    <row r="530" spans="1:2" x14ac:dyDescent="0.2">
      <c r="A530" s="3">
        <v>529</v>
      </c>
      <c r="B530" s="2">
        <v>0.83017963836222308</v>
      </c>
    </row>
    <row r="531" spans="1:2" x14ac:dyDescent="0.2">
      <c r="A531" s="3">
        <v>530</v>
      </c>
      <c r="B531" s="2">
        <v>0.36509333845394765</v>
      </c>
    </row>
    <row r="532" spans="1:2" x14ac:dyDescent="0.2">
      <c r="A532" s="3">
        <v>531</v>
      </c>
      <c r="B532" s="2">
        <v>0.21010268713765209</v>
      </c>
    </row>
    <row r="533" spans="1:2" x14ac:dyDescent="0.2">
      <c r="A533" s="3">
        <v>532</v>
      </c>
      <c r="B533" s="2">
        <v>0.98449957341004457</v>
      </c>
    </row>
    <row r="534" spans="1:2" x14ac:dyDescent="0.2">
      <c r="A534" s="3">
        <v>533</v>
      </c>
      <c r="B534" s="2">
        <v>0.76453878497850947</v>
      </c>
    </row>
    <row r="535" spans="1:2" x14ac:dyDescent="0.2">
      <c r="A535" s="3">
        <v>534</v>
      </c>
      <c r="B535" s="2">
        <v>0.28640313462075084</v>
      </c>
    </row>
    <row r="536" spans="1:2" x14ac:dyDescent="0.2">
      <c r="A536" s="3">
        <v>535</v>
      </c>
      <c r="B536" s="2">
        <v>0.23265051379204577</v>
      </c>
    </row>
    <row r="537" spans="1:2" x14ac:dyDescent="0.2">
      <c r="A537" s="3">
        <v>536</v>
      </c>
      <c r="B537" s="2">
        <v>0.89835534465488087</v>
      </c>
    </row>
    <row r="538" spans="1:2" x14ac:dyDescent="0.2">
      <c r="A538" s="3">
        <v>537</v>
      </c>
      <c r="B538" s="2">
        <v>7.6108301544453638E-2</v>
      </c>
    </row>
    <row r="539" spans="1:2" x14ac:dyDescent="0.2">
      <c r="A539" s="3">
        <v>538</v>
      </c>
      <c r="B539" s="2">
        <v>0.15520962511124037</v>
      </c>
    </row>
    <row r="540" spans="1:2" x14ac:dyDescent="0.2">
      <c r="A540" s="3">
        <v>539</v>
      </c>
      <c r="B540" s="2">
        <v>9.4093397433628601E-2</v>
      </c>
    </row>
    <row r="541" spans="1:2" x14ac:dyDescent="0.2">
      <c r="A541" s="3">
        <v>540</v>
      </c>
      <c r="B541" s="2">
        <v>0.75129351230964314</v>
      </c>
    </row>
    <row r="542" spans="1:2" x14ac:dyDescent="0.2">
      <c r="A542" s="3">
        <v>541</v>
      </c>
      <c r="B542" s="2">
        <v>0.24094704204834738</v>
      </c>
    </row>
    <row r="543" spans="1:2" x14ac:dyDescent="0.2">
      <c r="A543" s="3">
        <v>542</v>
      </c>
      <c r="B543" s="2">
        <v>1.1501533572541562E-2</v>
      </c>
    </row>
    <row r="544" spans="1:2" x14ac:dyDescent="0.2">
      <c r="A544" s="3">
        <v>543</v>
      </c>
      <c r="B544" s="2">
        <v>0.33718159783086632</v>
      </c>
    </row>
    <row r="545" spans="1:2" x14ac:dyDescent="0.2">
      <c r="A545" s="3">
        <v>544</v>
      </c>
      <c r="B545" s="2">
        <v>0.36696996869969989</v>
      </c>
    </row>
    <row r="546" spans="1:2" x14ac:dyDescent="0.2">
      <c r="A546" s="3">
        <v>545</v>
      </c>
      <c r="B546" s="2">
        <v>0.49674542468293564</v>
      </c>
    </row>
    <row r="547" spans="1:2" x14ac:dyDescent="0.2">
      <c r="A547" s="3">
        <v>546</v>
      </c>
      <c r="B547" s="2">
        <v>1.2393469756290023E-2</v>
      </c>
    </row>
    <row r="548" spans="1:2" x14ac:dyDescent="0.2">
      <c r="A548" s="3">
        <v>547</v>
      </c>
      <c r="B548" s="2">
        <v>0.80457130108271879</v>
      </c>
    </row>
    <row r="549" spans="1:2" x14ac:dyDescent="0.2">
      <c r="A549" s="3">
        <v>548</v>
      </c>
      <c r="B549" s="2">
        <v>0.56838868083961958</v>
      </c>
    </row>
    <row r="550" spans="1:2" x14ac:dyDescent="0.2">
      <c r="A550" s="3">
        <v>549</v>
      </c>
      <c r="B550" s="2">
        <v>0.53805595186501032</v>
      </c>
    </row>
    <row r="551" spans="1:2" x14ac:dyDescent="0.2">
      <c r="A551" s="3">
        <v>550</v>
      </c>
      <c r="B551" s="2">
        <v>0.50583705221259012</v>
      </c>
    </row>
    <row r="552" spans="1:2" x14ac:dyDescent="0.2">
      <c r="A552" s="3">
        <v>551</v>
      </c>
      <c r="B552" s="2">
        <v>1.0361292710777705E-2</v>
      </c>
    </row>
    <row r="553" spans="1:2" x14ac:dyDescent="0.2">
      <c r="A553" s="3">
        <v>552</v>
      </c>
      <c r="B553" s="2">
        <v>0.74526869894799541</v>
      </c>
    </row>
    <row r="554" spans="1:2" x14ac:dyDescent="0.2">
      <c r="A554" s="3">
        <v>553</v>
      </c>
      <c r="B554" s="2">
        <v>0.63281597315288696</v>
      </c>
    </row>
    <row r="555" spans="1:2" x14ac:dyDescent="0.2">
      <c r="A555" s="3">
        <v>554</v>
      </c>
      <c r="B555" s="2">
        <v>0.39609837320270047</v>
      </c>
    </row>
    <row r="556" spans="1:2" x14ac:dyDescent="0.2">
      <c r="A556" s="3">
        <v>555</v>
      </c>
      <c r="B556" s="2">
        <v>3.3884499724594133E-2</v>
      </c>
    </row>
    <row r="557" spans="1:2" x14ac:dyDescent="0.2">
      <c r="A557" s="3">
        <v>556</v>
      </c>
      <c r="B557" s="2">
        <v>0.9244010316644099</v>
      </c>
    </row>
    <row r="558" spans="1:2" x14ac:dyDescent="0.2">
      <c r="A558" s="3">
        <v>557</v>
      </c>
      <c r="B558" s="2">
        <v>1.818029481552565E-2</v>
      </c>
    </row>
    <row r="559" spans="1:2" x14ac:dyDescent="0.2">
      <c r="A559" s="3">
        <v>558</v>
      </c>
      <c r="B559" s="2">
        <v>0.68491322793614429</v>
      </c>
    </row>
    <row r="560" spans="1:2" x14ac:dyDescent="0.2">
      <c r="A560" s="3">
        <v>559</v>
      </c>
      <c r="B560" s="2">
        <v>0.74480533083465716</v>
      </c>
    </row>
    <row r="561" spans="1:2" x14ac:dyDescent="0.2">
      <c r="A561" s="3">
        <v>560</v>
      </c>
      <c r="B561" s="2">
        <v>0.80690413194184685</v>
      </c>
    </row>
    <row r="562" spans="1:2" x14ac:dyDescent="0.2">
      <c r="A562" s="3">
        <v>561</v>
      </c>
      <c r="B562" s="2">
        <v>0.231736945223908</v>
      </c>
    </row>
    <row r="563" spans="1:2" x14ac:dyDescent="0.2">
      <c r="A563" s="3">
        <v>562</v>
      </c>
      <c r="B563" s="2">
        <v>0.22480419230407553</v>
      </c>
    </row>
    <row r="564" spans="1:2" x14ac:dyDescent="0.2">
      <c r="A564" s="3">
        <v>563</v>
      </c>
      <c r="B564" s="2">
        <v>0.87038469621204095</v>
      </c>
    </row>
    <row r="565" spans="1:2" x14ac:dyDescent="0.2">
      <c r="A565" s="3">
        <v>564</v>
      </c>
      <c r="B565" s="2">
        <v>0.73870974296060998</v>
      </c>
    </row>
    <row r="566" spans="1:2" x14ac:dyDescent="0.2">
      <c r="A566" s="3">
        <v>565</v>
      </c>
      <c r="B566" s="2">
        <v>0.4827553212739929</v>
      </c>
    </row>
    <row r="567" spans="1:2" x14ac:dyDescent="0.2">
      <c r="A567" s="3">
        <v>566</v>
      </c>
      <c r="B567" s="2">
        <v>0.1924271005742679</v>
      </c>
    </row>
    <row r="568" spans="1:2" x14ac:dyDescent="0.2">
      <c r="A568" s="3">
        <v>567</v>
      </c>
      <c r="B568" s="2">
        <v>0.90451955449243449</v>
      </c>
    </row>
    <row r="569" spans="1:2" x14ac:dyDescent="0.2">
      <c r="A569" s="3">
        <v>568</v>
      </c>
      <c r="B569" s="2">
        <v>3.0829895656417205E-2</v>
      </c>
    </row>
    <row r="570" spans="1:2" x14ac:dyDescent="0.2">
      <c r="A570" s="3">
        <v>569</v>
      </c>
      <c r="B570" s="2">
        <v>0.4537474197553053</v>
      </c>
    </row>
    <row r="571" spans="1:2" x14ac:dyDescent="0.2">
      <c r="A571" s="3">
        <v>570</v>
      </c>
      <c r="B571" s="2">
        <v>0.8486508457440356</v>
      </c>
    </row>
    <row r="572" spans="1:2" x14ac:dyDescent="0.2">
      <c r="A572" s="3">
        <v>571</v>
      </c>
      <c r="B572" s="2">
        <v>0.82662066588660532</v>
      </c>
    </row>
    <row r="573" spans="1:2" x14ac:dyDescent="0.2">
      <c r="A573" s="3">
        <v>572</v>
      </c>
      <c r="B573" s="2">
        <v>0.99214935383532177</v>
      </c>
    </row>
    <row r="574" spans="1:2" x14ac:dyDescent="0.2">
      <c r="A574" s="3">
        <v>573</v>
      </c>
      <c r="B574" s="2">
        <v>2.4439127331904134E-2</v>
      </c>
    </row>
    <row r="575" spans="1:2" x14ac:dyDescent="0.2">
      <c r="A575" s="3">
        <v>574</v>
      </c>
      <c r="B575" s="2">
        <v>0.49466423732268233</v>
      </c>
    </row>
    <row r="576" spans="1:2" x14ac:dyDescent="0.2">
      <c r="A576" s="3">
        <v>575</v>
      </c>
      <c r="B576" s="2">
        <v>0.92938933014550029</v>
      </c>
    </row>
    <row r="577" spans="1:2" x14ac:dyDescent="0.2">
      <c r="A577" s="3">
        <v>576</v>
      </c>
      <c r="B577" s="2">
        <v>0.77755456949221236</v>
      </c>
    </row>
    <row r="578" spans="1:2" x14ac:dyDescent="0.2">
      <c r="A578" s="3">
        <v>577</v>
      </c>
      <c r="B578" s="2">
        <v>0.87229639278550863</v>
      </c>
    </row>
    <row r="579" spans="1:2" x14ac:dyDescent="0.2">
      <c r="A579" s="3">
        <v>578</v>
      </c>
      <c r="B579" s="2">
        <v>8.4970463883454767E-3</v>
      </c>
    </row>
    <row r="580" spans="1:2" x14ac:dyDescent="0.2">
      <c r="A580" s="3">
        <v>579</v>
      </c>
      <c r="B580" s="2">
        <v>0.5554096093258285</v>
      </c>
    </row>
    <row r="581" spans="1:2" x14ac:dyDescent="0.2">
      <c r="A581" s="3">
        <v>580</v>
      </c>
      <c r="B581" s="2">
        <v>0.89243655942979394</v>
      </c>
    </row>
    <row r="582" spans="1:2" x14ac:dyDescent="0.2">
      <c r="A582" s="3">
        <v>581</v>
      </c>
      <c r="B582" s="2">
        <v>0.55483015530380198</v>
      </c>
    </row>
    <row r="583" spans="1:2" x14ac:dyDescent="0.2">
      <c r="A583" s="3">
        <v>582</v>
      </c>
      <c r="B583" s="2">
        <v>0.25740121939385951</v>
      </c>
    </row>
    <row r="584" spans="1:2" x14ac:dyDescent="0.2">
      <c r="A584" s="3">
        <v>583</v>
      </c>
      <c r="B584" s="2">
        <v>0.92358017737433973</v>
      </c>
    </row>
    <row r="585" spans="1:2" x14ac:dyDescent="0.2">
      <c r="A585" s="3">
        <v>584</v>
      </c>
      <c r="B585" s="2">
        <v>0.37313586821036632</v>
      </c>
    </row>
    <row r="586" spans="1:2" x14ac:dyDescent="0.2">
      <c r="A586" s="3">
        <v>585</v>
      </c>
      <c r="B586" s="2">
        <v>0.31622235446366165</v>
      </c>
    </row>
    <row r="587" spans="1:2" x14ac:dyDescent="0.2">
      <c r="A587" s="3">
        <v>586</v>
      </c>
      <c r="B587" s="2">
        <v>9.2196579426388023E-2</v>
      </c>
    </row>
    <row r="588" spans="1:2" x14ac:dyDescent="0.2">
      <c r="A588" s="3">
        <v>587</v>
      </c>
      <c r="B588" s="2">
        <v>0.21861980850382345</v>
      </c>
    </row>
    <row r="589" spans="1:2" x14ac:dyDescent="0.2">
      <c r="A589" s="3">
        <v>588</v>
      </c>
      <c r="B589" s="2">
        <v>0.65505165542219357</v>
      </c>
    </row>
    <row r="590" spans="1:2" x14ac:dyDescent="0.2">
      <c r="A590" s="3">
        <v>589</v>
      </c>
      <c r="B590" s="2">
        <v>0.17277726787000147</v>
      </c>
    </row>
    <row r="591" spans="1:2" x14ac:dyDescent="0.2">
      <c r="A591" s="3">
        <v>590</v>
      </c>
      <c r="B591" s="2">
        <v>0.32194416064667208</v>
      </c>
    </row>
    <row r="592" spans="1:2" x14ac:dyDescent="0.2">
      <c r="A592" s="3">
        <v>591</v>
      </c>
      <c r="B592" s="2">
        <v>0.54168974945220749</v>
      </c>
    </row>
    <row r="593" spans="1:2" x14ac:dyDescent="0.2">
      <c r="A593" s="3">
        <v>592</v>
      </c>
      <c r="B593" s="2">
        <v>0.69732132883734943</v>
      </c>
    </row>
    <row r="594" spans="1:2" x14ac:dyDescent="0.2">
      <c r="A594" s="3">
        <v>593</v>
      </c>
      <c r="B594" s="2">
        <v>0.18302953528997898</v>
      </c>
    </row>
    <row r="595" spans="1:2" x14ac:dyDescent="0.2">
      <c r="A595" s="3">
        <v>594</v>
      </c>
      <c r="B595" s="2">
        <v>0.94021580104812041</v>
      </c>
    </row>
    <row r="596" spans="1:2" x14ac:dyDescent="0.2">
      <c r="A596" s="3">
        <v>595</v>
      </c>
      <c r="B596" s="2">
        <v>8.7737808765457323E-2</v>
      </c>
    </row>
    <row r="597" spans="1:2" x14ac:dyDescent="0.2">
      <c r="A597" s="3">
        <v>596</v>
      </c>
      <c r="B597" s="2">
        <v>0.54844829473974666</v>
      </c>
    </row>
    <row r="598" spans="1:2" x14ac:dyDescent="0.2">
      <c r="A598" s="3">
        <v>597</v>
      </c>
      <c r="B598" s="2">
        <v>0.69965507106017388</v>
      </c>
    </row>
    <row r="599" spans="1:2" x14ac:dyDescent="0.2">
      <c r="A599" s="3">
        <v>598</v>
      </c>
      <c r="B599" s="2">
        <v>0.48412653210863849</v>
      </c>
    </row>
    <row r="600" spans="1:2" x14ac:dyDescent="0.2">
      <c r="A600" s="3">
        <v>599</v>
      </c>
      <c r="B600" s="2">
        <v>0.89430825834030103</v>
      </c>
    </row>
    <row r="601" spans="1:2" x14ac:dyDescent="0.2">
      <c r="A601" s="3">
        <v>600</v>
      </c>
      <c r="B601" s="2">
        <v>0.85801792841427982</v>
      </c>
    </row>
    <row r="602" spans="1:2" x14ac:dyDescent="0.2">
      <c r="A602" s="3">
        <v>601</v>
      </c>
      <c r="B602" s="2">
        <v>9.2158355776200171E-2</v>
      </c>
    </row>
    <row r="603" spans="1:2" x14ac:dyDescent="0.2">
      <c r="A603" s="3">
        <v>602</v>
      </c>
      <c r="B603" s="2">
        <v>0.46770702782519064</v>
      </c>
    </row>
    <row r="604" spans="1:2" x14ac:dyDescent="0.2">
      <c r="A604" s="3">
        <v>603</v>
      </c>
      <c r="B604" s="2">
        <v>0.53024846668402059</v>
      </c>
    </row>
    <row r="605" spans="1:2" x14ac:dyDescent="0.2">
      <c r="A605" s="3">
        <v>604</v>
      </c>
      <c r="B605" s="2">
        <v>0.53337220226226534</v>
      </c>
    </row>
    <row r="606" spans="1:2" x14ac:dyDescent="0.2">
      <c r="A606" s="3">
        <v>605</v>
      </c>
      <c r="B606" s="2">
        <v>0.22850056845894073</v>
      </c>
    </row>
    <row r="607" spans="1:2" x14ac:dyDescent="0.2">
      <c r="A607" s="3">
        <v>606</v>
      </c>
      <c r="B607" s="2">
        <v>0.72435683764091663</v>
      </c>
    </row>
    <row r="608" spans="1:2" x14ac:dyDescent="0.2">
      <c r="A608" s="3">
        <v>607</v>
      </c>
      <c r="B608" s="2">
        <v>0.84302344658842587</v>
      </c>
    </row>
    <row r="609" spans="1:2" x14ac:dyDescent="0.2">
      <c r="A609" s="3">
        <v>608</v>
      </c>
      <c r="B609" s="2">
        <v>0.2217239196286229</v>
      </c>
    </row>
    <row r="610" spans="1:2" x14ac:dyDescent="0.2">
      <c r="A610" s="3">
        <v>609</v>
      </c>
      <c r="B610" s="2">
        <v>0.76920355163940302</v>
      </c>
    </row>
    <row r="611" spans="1:2" x14ac:dyDescent="0.2">
      <c r="A611" s="3">
        <v>610</v>
      </c>
      <c r="B611" s="2">
        <v>0.84198919713369025</v>
      </c>
    </row>
    <row r="612" spans="1:2" x14ac:dyDescent="0.2">
      <c r="A612" s="3">
        <v>611</v>
      </c>
      <c r="B612" s="2">
        <v>0.4624109499382556</v>
      </c>
    </row>
    <row r="613" spans="1:2" x14ac:dyDescent="0.2">
      <c r="A613" s="3">
        <v>612</v>
      </c>
      <c r="B613" s="2">
        <v>0.70974671782656285</v>
      </c>
    </row>
    <row r="614" spans="1:2" x14ac:dyDescent="0.2">
      <c r="A614" s="3">
        <v>613</v>
      </c>
      <c r="B614" s="2">
        <v>0.67024331745114474</v>
      </c>
    </row>
    <row r="615" spans="1:2" x14ac:dyDescent="0.2">
      <c r="A615" s="3">
        <v>614</v>
      </c>
      <c r="B615" s="2">
        <v>0.43635004139315969</v>
      </c>
    </row>
    <row r="616" spans="1:2" x14ac:dyDescent="0.2">
      <c r="A616" s="3">
        <v>615</v>
      </c>
      <c r="B616" s="2">
        <v>0.38063612857420281</v>
      </c>
    </row>
    <row r="617" spans="1:2" x14ac:dyDescent="0.2">
      <c r="A617" s="3">
        <v>616</v>
      </c>
      <c r="B617" s="2">
        <v>0.45974425877220926</v>
      </c>
    </row>
    <row r="618" spans="1:2" x14ac:dyDescent="0.2">
      <c r="A618" s="3">
        <v>617</v>
      </c>
      <c r="B618" s="2">
        <v>0.94035604083619373</v>
      </c>
    </row>
    <row r="619" spans="1:2" x14ac:dyDescent="0.2">
      <c r="A619" s="3">
        <v>618</v>
      </c>
      <c r="B619" s="2">
        <v>0.35042353484082278</v>
      </c>
    </row>
    <row r="620" spans="1:2" x14ac:dyDescent="0.2">
      <c r="A620" s="3">
        <v>619</v>
      </c>
      <c r="B620" s="2">
        <v>0.71985123645844462</v>
      </c>
    </row>
    <row r="621" spans="1:2" x14ac:dyDescent="0.2">
      <c r="A621" s="3">
        <v>620</v>
      </c>
      <c r="B621" s="2">
        <v>0.17934858905997511</v>
      </c>
    </row>
    <row r="622" spans="1:2" x14ac:dyDescent="0.2">
      <c r="A622" s="3">
        <v>621</v>
      </c>
      <c r="B622" s="2">
        <v>2.3483002985500479E-2</v>
      </c>
    </row>
    <row r="623" spans="1:2" x14ac:dyDescent="0.2">
      <c r="A623" s="3">
        <v>622</v>
      </c>
      <c r="B623" s="2">
        <v>0.15508265899994927</v>
      </c>
    </row>
    <row r="624" spans="1:2" x14ac:dyDescent="0.2">
      <c r="A624" s="3">
        <v>623</v>
      </c>
      <c r="B624" s="2">
        <v>0.56564214900980858</v>
      </c>
    </row>
    <row r="625" spans="1:2" x14ac:dyDescent="0.2">
      <c r="A625" s="3">
        <v>624</v>
      </c>
      <c r="B625" s="2">
        <v>0.33306725905421319</v>
      </c>
    </row>
    <row r="626" spans="1:2" x14ac:dyDescent="0.2">
      <c r="A626" s="3">
        <v>625</v>
      </c>
      <c r="B626" s="2">
        <v>0.1693055165445686</v>
      </c>
    </row>
    <row r="627" spans="1:2" x14ac:dyDescent="0.2">
      <c r="A627" s="3">
        <v>626</v>
      </c>
      <c r="B627" s="2">
        <v>0.70107070406877481</v>
      </c>
    </row>
    <row r="628" spans="1:2" x14ac:dyDescent="0.2">
      <c r="A628" s="3">
        <v>627</v>
      </c>
      <c r="B628" s="2">
        <v>6.0471504500293947E-2</v>
      </c>
    </row>
    <row r="629" spans="1:2" x14ac:dyDescent="0.2">
      <c r="A629" s="3">
        <v>628</v>
      </c>
      <c r="B629" s="2">
        <v>0.14184633964700233</v>
      </c>
    </row>
    <row r="630" spans="1:2" x14ac:dyDescent="0.2">
      <c r="A630" s="3">
        <v>629</v>
      </c>
      <c r="B630" s="2">
        <v>0.28453631508913541</v>
      </c>
    </row>
    <row r="631" spans="1:2" x14ac:dyDescent="0.2">
      <c r="A631" s="3">
        <v>630</v>
      </c>
      <c r="B631" s="2">
        <v>0.3896666422963258</v>
      </c>
    </row>
    <row r="632" spans="1:2" x14ac:dyDescent="0.2">
      <c r="A632" s="3">
        <v>631</v>
      </c>
      <c r="B632" s="2">
        <v>0.50633713076475328</v>
      </c>
    </row>
    <row r="633" spans="1:2" x14ac:dyDescent="0.2">
      <c r="A633" s="3">
        <v>632</v>
      </c>
      <c r="B633" s="2">
        <v>0.11199543286679635</v>
      </c>
    </row>
    <row r="634" spans="1:2" x14ac:dyDescent="0.2">
      <c r="A634" s="3">
        <v>633</v>
      </c>
      <c r="B634" s="2">
        <v>0.84175434423508366</v>
      </c>
    </row>
    <row r="635" spans="1:2" x14ac:dyDescent="0.2">
      <c r="A635" s="3">
        <v>634</v>
      </c>
      <c r="B635" s="2">
        <v>0.32629576987956799</v>
      </c>
    </row>
    <row r="636" spans="1:2" x14ac:dyDescent="0.2">
      <c r="A636" s="3">
        <v>635</v>
      </c>
      <c r="B636" s="2">
        <v>0.76848670301745836</v>
      </c>
    </row>
    <row r="637" spans="1:2" x14ac:dyDescent="0.2">
      <c r="A637" s="3">
        <v>636</v>
      </c>
      <c r="B637" s="2">
        <v>0.92635753045634472</v>
      </c>
    </row>
    <row r="638" spans="1:2" x14ac:dyDescent="0.2">
      <c r="A638" s="3">
        <v>637</v>
      </c>
      <c r="B638" s="2">
        <v>0.84661144868585936</v>
      </c>
    </row>
    <row r="639" spans="1:2" x14ac:dyDescent="0.2">
      <c r="A639" s="3">
        <v>638</v>
      </c>
      <c r="B639" s="2">
        <v>0.55856113990885925</v>
      </c>
    </row>
    <row r="640" spans="1:2" x14ac:dyDescent="0.2">
      <c r="A640" s="3">
        <v>639</v>
      </c>
      <c r="B640" s="2">
        <v>0.18995504188334505</v>
      </c>
    </row>
    <row r="641" spans="1:2" x14ac:dyDescent="0.2">
      <c r="A641" s="3">
        <v>640</v>
      </c>
      <c r="B641" s="2">
        <v>4.0507074519976635E-2</v>
      </c>
    </row>
    <row r="642" spans="1:2" x14ac:dyDescent="0.2">
      <c r="A642" s="3">
        <v>641</v>
      </c>
      <c r="B642" s="2">
        <v>0.10242827785309509</v>
      </c>
    </row>
    <row r="643" spans="1:2" x14ac:dyDescent="0.2">
      <c r="A643" s="3">
        <v>642</v>
      </c>
      <c r="B643" s="2">
        <v>0.40017861527025811</v>
      </c>
    </row>
    <row r="644" spans="1:2" x14ac:dyDescent="0.2">
      <c r="A644" s="3">
        <v>643</v>
      </c>
      <c r="B644" s="2">
        <v>0.44502670658566368</v>
      </c>
    </row>
    <row r="645" spans="1:2" x14ac:dyDescent="0.2">
      <c r="A645" s="3">
        <v>644</v>
      </c>
      <c r="B645" s="2">
        <v>0.67719667469720246</v>
      </c>
    </row>
    <row r="646" spans="1:2" x14ac:dyDescent="0.2">
      <c r="A646" s="3">
        <v>645</v>
      </c>
      <c r="B646" s="2">
        <v>0.47679920001693821</v>
      </c>
    </row>
    <row r="647" spans="1:2" x14ac:dyDescent="0.2">
      <c r="A647" s="3">
        <v>646</v>
      </c>
      <c r="B647" s="2">
        <v>7.9225901969937774E-3</v>
      </c>
    </row>
    <row r="648" spans="1:2" x14ac:dyDescent="0.2">
      <c r="A648" s="3">
        <v>647</v>
      </c>
      <c r="B648" s="2">
        <v>1.033046693151562E-2</v>
      </c>
    </row>
    <row r="649" spans="1:2" x14ac:dyDescent="0.2">
      <c r="A649" s="3">
        <v>648</v>
      </c>
      <c r="B649" s="2">
        <v>3.058106933776018E-2</v>
      </c>
    </row>
    <row r="650" spans="1:2" x14ac:dyDescent="0.2">
      <c r="A650" s="3">
        <v>649</v>
      </c>
      <c r="B650" s="2">
        <v>0.27310012735604206</v>
      </c>
    </row>
    <row r="651" spans="1:2" x14ac:dyDescent="0.2">
      <c r="A651" s="3">
        <v>650</v>
      </c>
      <c r="B651" s="2">
        <v>0.48575941783163318</v>
      </c>
    </row>
    <row r="652" spans="1:2" x14ac:dyDescent="0.2">
      <c r="A652" s="3">
        <v>651</v>
      </c>
      <c r="B652" s="2">
        <v>0.73166891137001389</v>
      </c>
    </row>
    <row r="653" spans="1:2" x14ac:dyDescent="0.2">
      <c r="A653" s="3">
        <v>652</v>
      </c>
      <c r="B653" s="2">
        <v>0.44853357634522106</v>
      </c>
    </row>
    <row r="654" spans="1:2" x14ac:dyDescent="0.2">
      <c r="A654" s="3">
        <v>653</v>
      </c>
      <c r="B654" s="2">
        <v>0.81719946996228754</v>
      </c>
    </row>
    <row r="655" spans="1:2" x14ac:dyDescent="0.2">
      <c r="A655" s="3">
        <v>654</v>
      </c>
      <c r="B655" s="2">
        <v>0.54638290161112357</v>
      </c>
    </row>
    <row r="656" spans="1:2" x14ac:dyDescent="0.2">
      <c r="A656" s="3">
        <v>655</v>
      </c>
      <c r="B656" s="2">
        <v>0.27564986398642705</v>
      </c>
    </row>
    <row r="657" spans="1:2" x14ac:dyDescent="0.2">
      <c r="A657" s="3">
        <v>656</v>
      </c>
      <c r="B657" s="2">
        <v>0.4469862656684872</v>
      </c>
    </row>
    <row r="658" spans="1:2" x14ac:dyDescent="0.2">
      <c r="A658" s="3">
        <v>657</v>
      </c>
      <c r="B658" s="2">
        <v>0.71445610514508751</v>
      </c>
    </row>
    <row r="659" spans="1:2" x14ac:dyDescent="0.2">
      <c r="A659" s="3">
        <v>658</v>
      </c>
      <c r="B659" s="2">
        <v>0.54818791854945681</v>
      </c>
    </row>
    <row r="660" spans="1:2" x14ac:dyDescent="0.2">
      <c r="A660" s="3">
        <v>659</v>
      </c>
      <c r="B660" s="2">
        <v>0.35088138310775252</v>
      </c>
    </row>
    <row r="661" spans="1:2" x14ac:dyDescent="0.2">
      <c r="A661" s="3">
        <v>660</v>
      </c>
      <c r="B661" s="2">
        <v>0.71128742689110624</v>
      </c>
    </row>
    <row r="662" spans="1:2" x14ac:dyDescent="0.2">
      <c r="A662" s="3">
        <v>661</v>
      </c>
      <c r="B662" s="2">
        <v>0.45774062293428841</v>
      </c>
    </row>
    <row r="663" spans="1:2" x14ac:dyDescent="0.2">
      <c r="A663" s="3">
        <v>662</v>
      </c>
      <c r="B663" s="2">
        <v>0.79470143617599931</v>
      </c>
    </row>
    <row r="664" spans="1:2" x14ac:dyDescent="0.2">
      <c r="A664" s="3">
        <v>663</v>
      </c>
      <c r="B664" s="2">
        <v>3.0444818708803324E-2</v>
      </c>
    </row>
    <row r="665" spans="1:2" x14ac:dyDescent="0.2">
      <c r="A665" s="3">
        <v>664</v>
      </c>
      <c r="B665" s="2">
        <v>0.11004469639711438</v>
      </c>
    </row>
    <row r="666" spans="1:2" x14ac:dyDescent="0.2">
      <c r="A666" s="3">
        <v>665</v>
      </c>
      <c r="B666" s="2">
        <v>0.85398264519981359</v>
      </c>
    </row>
    <row r="667" spans="1:2" x14ac:dyDescent="0.2">
      <c r="A667" s="3">
        <v>666</v>
      </c>
      <c r="B667" s="2">
        <v>0.44673951017385666</v>
      </c>
    </row>
    <row r="668" spans="1:2" x14ac:dyDescent="0.2">
      <c r="A668" s="3">
        <v>667</v>
      </c>
      <c r="B668" s="2">
        <v>0.8562800084981379</v>
      </c>
    </row>
    <row r="669" spans="1:2" x14ac:dyDescent="0.2">
      <c r="A669" s="3">
        <v>668</v>
      </c>
      <c r="B669" s="2">
        <v>0.16326966392647793</v>
      </c>
    </row>
    <row r="670" spans="1:2" x14ac:dyDescent="0.2">
      <c r="A670" s="3">
        <v>669</v>
      </c>
      <c r="B670" s="2">
        <v>0.56159981804302017</v>
      </c>
    </row>
    <row r="671" spans="1:2" x14ac:dyDescent="0.2">
      <c r="A671" s="3">
        <v>670</v>
      </c>
      <c r="B671" s="2">
        <v>0.11597707573779457</v>
      </c>
    </row>
    <row r="672" spans="1:2" x14ac:dyDescent="0.2">
      <c r="A672" s="3">
        <v>671</v>
      </c>
      <c r="B672" s="2">
        <v>0.84160152939461197</v>
      </c>
    </row>
    <row r="673" spans="1:2" x14ac:dyDescent="0.2">
      <c r="A673" s="3">
        <v>672</v>
      </c>
      <c r="B673" s="2">
        <v>0.23798781091549401</v>
      </c>
    </row>
    <row r="674" spans="1:2" x14ac:dyDescent="0.2">
      <c r="A674" s="3">
        <v>673</v>
      </c>
      <c r="B674" s="2">
        <v>0.87371818373308829</v>
      </c>
    </row>
    <row r="675" spans="1:2" x14ac:dyDescent="0.2">
      <c r="A675" s="3">
        <v>674</v>
      </c>
      <c r="B675" s="2">
        <v>0.54602838793270103</v>
      </c>
    </row>
    <row r="676" spans="1:2" x14ac:dyDescent="0.2">
      <c r="A676" s="3">
        <v>675</v>
      </c>
      <c r="B676" s="2">
        <v>0.24286239106390456</v>
      </c>
    </row>
    <row r="677" spans="1:2" x14ac:dyDescent="0.2">
      <c r="A677" s="3">
        <v>676</v>
      </c>
      <c r="B677" s="2">
        <v>0.91894571360841526</v>
      </c>
    </row>
    <row r="678" spans="1:2" x14ac:dyDescent="0.2">
      <c r="A678" s="3">
        <v>677</v>
      </c>
      <c r="B678" s="2">
        <v>0.67518153015039639</v>
      </c>
    </row>
    <row r="679" spans="1:2" x14ac:dyDescent="0.2">
      <c r="A679" s="3">
        <v>678</v>
      </c>
      <c r="B679" s="2">
        <v>0.2320139456733861</v>
      </c>
    </row>
    <row r="680" spans="1:2" x14ac:dyDescent="0.2">
      <c r="A680" s="3">
        <v>679</v>
      </c>
      <c r="B680" s="2">
        <v>2.3197517807201778E-2</v>
      </c>
    </row>
    <row r="681" spans="1:2" x14ac:dyDescent="0.2">
      <c r="A681" s="3">
        <v>680</v>
      </c>
      <c r="B681" s="2">
        <v>0.60382683785552771</v>
      </c>
    </row>
    <row r="682" spans="1:2" x14ac:dyDescent="0.2">
      <c r="A682" s="3">
        <v>681</v>
      </c>
      <c r="B682" s="2">
        <v>6.6003209460919393E-2</v>
      </c>
    </row>
    <row r="683" spans="1:2" x14ac:dyDescent="0.2">
      <c r="A683" s="3">
        <v>682</v>
      </c>
      <c r="B683" s="2">
        <v>0.48962422344496964</v>
      </c>
    </row>
    <row r="684" spans="1:2" x14ac:dyDescent="0.2">
      <c r="A684" s="3">
        <v>683</v>
      </c>
      <c r="B684" s="2">
        <v>0.7821892965367262</v>
      </c>
    </row>
    <row r="685" spans="1:2" x14ac:dyDescent="0.2">
      <c r="A685" s="3">
        <v>684</v>
      </c>
      <c r="B685" s="2">
        <v>0.8655882398190694</v>
      </c>
    </row>
    <row r="686" spans="1:2" x14ac:dyDescent="0.2">
      <c r="A686" s="3">
        <v>685</v>
      </c>
      <c r="B686" s="2">
        <v>0.77138942876951577</v>
      </c>
    </row>
    <row r="687" spans="1:2" x14ac:dyDescent="0.2">
      <c r="A687" s="3">
        <v>686</v>
      </c>
      <c r="B687" s="2">
        <v>0.23693650491477949</v>
      </c>
    </row>
    <row r="688" spans="1:2" x14ac:dyDescent="0.2">
      <c r="A688" s="3">
        <v>687</v>
      </c>
      <c r="B688" s="2">
        <v>0.2467254906004237</v>
      </c>
    </row>
    <row r="689" spans="1:2" x14ac:dyDescent="0.2">
      <c r="A689" s="3">
        <v>688</v>
      </c>
      <c r="B689" s="2">
        <v>0.69853333167660026</v>
      </c>
    </row>
    <row r="690" spans="1:2" x14ac:dyDescent="0.2">
      <c r="A690" s="3">
        <v>689</v>
      </c>
      <c r="B690" s="2">
        <v>0.48910975120400402</v>
      </c>
    </row>
    <row r="691" spans="1:2" x14ac:dyDescent="0.2">
      <c r="A691" s="3">
        <v>690</v>
      </c>
      <c r="B691" s="2">
        <v>8.560309802442824E-2</v>
      </c>
    </row>
    <row r="692" spans="1:2" x14ac:dyDescent="0.2">
      <c r="A692" s="3">
        <v>691</v>
      </c>
      <c r="B692" s="2">
        <v>0.64460631009639591</v>
      </c>
    </row>
    <row r="693" spans="1:2" x14ac:dyDescent="0.2">
      <c r="A693" s="3">
        <v>692</v>
      </c>
      <c r="B693" s="2">
        <v>0.72387867565549213</v>
      </c>
    </row>
    <row r="694" spans="1:2" x14ac:dyDescent="0.2">
      <c r="A694" s="3">
        <v>693</v>
      </c>
      <c r="B694" s="2">
        <v>0.80501856077076872</v>
      </c>
    </row>
    <row r="695" spans="1:2" x14ac:dyDescent="0.2">
      <c r="A695" s="3">
        <v>694</v>
      </c>
      <c r="B695" s="2">
        <v>0.48908155077972043</v>
      </c>
    </row>
    <row r="696" spans="1:2" x14ac:dyDescent="0.2">
      <c r="A696" s="3">
        <v>695</v>
      </c>
      <c r="B696" s="2">
        <v>0.2443926323217126</v>
      </c>
    </row>
    <row r="697" spans="1:2" x14ac:dyDescent="0.2">
      <c r="A697" s="3">
        <v>696</v>
      </c>
      <c r="B697" s="2">
        <v>0.11277059113423937</v>
      </c>
    </row>
    <row r="698" spans="1:2" x14ac:dyDescent="0.2">
      <c r="A698" s="3">
        <v>697</v>
      </c>
      <c r="B698" s="2">
        <v>0.68021041531973014</v>
      </c>
    </row>
    <row r="699" spans="1:2" x14ac:dyDescent="0.2">
      <c r="A699" s="3">
        <v>698</v>
      </c>
      <c r="B699" s="2">
        <v>0.25799714545514002</v>
      </c>
    </row>
    <row r="700" spans="1:2" x14ac:dyDescent="0.2">
      <c r="A700" s="3">
        <v>699</v>
      </c>
      <c r="B700" s="2">
        <v>0.69896140100047566</v>
      </c>
    </row>
    <row r="701" spans="1:2" x14ac:dyDescent="0.2">
      <c r="A701" s="3">
        <v>700</v>
      </c>
      <c r="B701" s="2">
        <v>0.59348269891303107</v>
      </c>
    </row>
    <row r="702" spans="1:2" x14ac:dyDescent="0.2">
      <c r="A702" s="3">
        <v>701</v>
      </c>
      <c r="B702" s="2">
        <v>0.42876499984371108</v>
      </c>
    </row>
    <row r="703" spans="1:2" x14ac:dyDescent="0.2">
      <c r="A703" s="3">
        <v>702</v>
      </c>
      <c r="B703" s="2">
        <v>0.84001501668667056</v>
      </c>
    </row>
    <row r="704" spans="1:2" x14ac:dyDescent="0.2">
      <c r="A704" s="3">
        <v>703</v>
      </c>
      <c r="B704" s="2">
        <v>0.23427918303691569</v>
      </c>
    </row>
    <row r="705" spans="1:2" x14ac:dyDescent="0.2">
      <c r="A705" s="3">
        <v>704</v>
      </c>
      <c r="B705" s="2">
        <v>0.12447445658564105</v>
      </c>
    </row>
    <row r="706" spans="1:2" x14ac:dyDescent="0.2">
      <c r="A706" s="3">
        <v>705</v>
      </c>
      <c r="B706" s="2">
        <v>0.89601918030047822</v>
      </c>
    </row>
    <row r="707" spans="1:2" x14ac:dyDescent="0.2">
      <c r="A707" s="3">
        <v>706</v>
      </c>
      <c r="B707" s="2">
        <v>0.90179839749055535</v>
      </c>
    </row>
    <row r="708" spans="1:2" x14ac:dyDescent="0.2">
      <c r="A708" s="3">
        <v>707</v>
      </c>
      <c r="B708" s="2">
        <v>0.2446808221368873</v>
      </c>
    </row>
    <row r="709" spans="1:2" x14ac:dyDescent="0.2">
      <c r="A709" s="3">
        <v>708</v>
      </c>
      <c r="B709" s="2">
        <v>0.59407021255091574</v>
      </c>
    </row>
    <row r="710" spans="1:2" x14ac:dyDescent="0.2">
      <c r="A710" s="3">
        <v>709</v>
      </c>
      <c r="B710" s="2">
        <v>0.91125162483366229</v>
      </c>
    </row>
    <row r="711" spans="1:2" x14ac:dyDescent="0.2">
      <c r="A711" s="3">
        <v>710</v>
      </c>
      <c r="B711" s="2">
        <v>0.97358125952781083</v>
      </c>
    </row>
    <row r="712" spans="1:2" x14ac:dyDescent="0.2">
      <c r="A712" s="3">
        <v>711</v>
      </c>
      <c r="B712" s="2">
        <v>0.37959359629171319</v>
      </c>
    </row>
    <row r="713" spans="1:2" x14ac:dyDescent="0.2">
      <c r="A713" s="3">
        <v>712</v>
      </c>
      <c r="B713" s="2">
        <v>0.42394483407759198</v>
      </c>
    </row>
    <row r="714" spans="1:2" x14ac:dyDescent="0.2">
      <c r="A714" s="3">
        <v>713</v>
      </c>
      <c r="B714" s="2">
        <v>0.11181669819928697</v>
      </c>
    </row>
    <row r="715" spans="1:2" x14ac:dyDescent="0.2">
      <c r="A715" s="3">
        <v>714</v>
      </c>
      <c r="B715" s="2">
        <v>0.30693365356122448</v>
      </c>
    </row>
    <row r="716" spans="1:2" x14ac:dyDescent="0.2">
      <c r="A716" s="3">
        <v>715</v>
      </c>
      <c r="B716" s="2">
        <v>0.45052172748732916</v>
      </c>
    </row>
    <row r="717" spans="1:2" x14ac:dyDescent="0.2">
      <c r="A717" s="3">
        <v>716</v>
      </c>
      <c r="B717" s="2">
        <v>0.82445654439758531</v>
      </c>
    </row>
    <row r="718" spans="1:2" x14ac:dyDescent="0.2">
      <c r="A718" s="3">
        <v>717</v>
      </c>
      <c r="B718" s="2">
        <v>0.46602460852026423</v>
      </c>
    </row>
    <row r="719" spans="1:2" x14ac:dyDescent="0.2">
      <c r="A719" s="3">
        <v>718</v>
      </c>
      <c r="B719" s="2">
        <v>0.86124736160406945</v>
      </c>
    </row>
    <row r="720" spans="1:2" x14ac:dyDescent="0.2">
      <c r="A720" s="3">
        <v>719</v>
      </c>
      <c r="B720" s="2">
        <v>0.32145682164409461</v>
      </c>
    </row>
    <row r="721" spans="1:2" x14ac:dyDescent="0.2">
      <c r="A721" s="3">
        <v>720</v>
      </c>
      <c r="B721" s="2">
        <v>0.86831754244956605</v>
      </c>
    </row>
    <row r="722" spans="1:2" x14ac:dyDescent="0.2">
      <c r="A722" s="3">
        <v>721</v>
      </c>
      <c r="B722" s="2">
        <v>0.31800238011234311</v>
      </c>
    </row>
    <row r="723" spans="1:2" x14ac:dyDescent="0.2">
      <c r="A723" s="3">
        <v>722</v>
      </c>
      <c r="B723" s="2">
        <v>0.8442434358801949</v>
      </c>
    </row>
    <row r="724" spans="1:2" x14ac:dyDescent="0.2">
      <c r="A724" s="3">
        <v>723</v>
      </c>
      <c r="B724" s="2">
        <v>0.24561658349312088</v>
      </c>
    </row>
    <row r="725" spans="1:2" x14ac:dyDescent="0.2">
      <c r="A725" s="3">
        <v>724</v>
      </c>
      <c r="B725" s="2">
        <v>0.36694879011759174</v>
      </c>
    </row>
    <row r="726" spans="1:2" x14ac:dyDescent="0.2">
      <c r="A726" s="3">
        <v>725</v>
      </c>
      <c r="B726" s="2">
        <v>0.76395491611743382</v>
      </c>
    </row>
    <row r="727" spans="1:2" x14ac:dyDescent="0.2">
      <c r="A727" s="3">
        <v>726</v>
      </c>
      <c r="B727" s="2">
        <v>0.27281108755674788</v>
      </c>
    </row>
    <row r="728" spans="1:2" x14ac:dyDescent="0.2">
      <c r="A728" s="3">
        <v>727</v>
      </c>
      <c r="B728" s="2">
        <v>0.13884339286268232</v>
      </c>
    </row>
    <row r="729" spans="1:2" x14ac:dyDescent="0.2">
      <c r="A729" s="3">
        <v>728</v>
      </c>
      <c r="B729" s="2">
        <v>0.96869812928145649</v>
      </c>
    </row>
    <row r="730" spans="1:2" x14ac:dyDescent="0.2">
      <c r="A730" s="3">
        <v>729</v>
      </c>
      <c r="B730" s="2">
        <v>0.6712692950935758</v>
      </c>
    </row>
    <row r="731" spans="1:2" x14ac:dyDescent="0.2">
      <c r="A731" s="3">
        <v>730</v>
      </c>
      <c r="B731" s="2">
        <v>0.25523213856732285</v>
      </c>
    </row>
    <row r="732" spans="1:2" x14ac:dyDescent="0.2">
      <c r="A732" s="3">
        <v>731</v>
      </c>
      <c r="B732" s="2">
        <v>0.32358105036810852</v>
      </c>
    </row>
    <row r="733" spans="1:2" x14ac:dyDescent="0.2">
      <c r="A733" s="3">
        <v>732</v>
      </c>
      <c r="B733" s="2">
        <v>0.76032383614124166</v>
      </c>
    </row>
    <row r="734" spans="1:2" x14ac:dyDescent="0.2">
      <c r="A734" s="3">
        <v>733</v>
      </c>
      <c r="B734" s="2">
        <v>0.40323275858863655</v>
      </c>
    </row>
    <row r="735" spans="1:2" x14ac:dyDescent="0.2">
      <c r="A735" s="3">
        <v>734</v>
      </c>
      <c r="B735" s="2">
        <v>0.86676829325393712</v>
      </c>
    </row>
    <row r="736" spans="1:2" x14ac:dyDescent="0.2">
      <c r="A736" s="3">
        <v>735</v>
      </c>
      <c r="B736" s="2">
        <v>0.13314408488098237</v>
      </c>
    </row>
    <row r="737" spans="1:2" x14ac:dyDescent="0.2">
      <c r="A737" s="3">
        <v>736</v>
      </c>
      <c r="B737" s="2">
        <v>0.69380598556896</v>
      </c>
    </row>
    <row r="738" spans="1:2" x14ac:dyDescent="0.2">
      <c r="A738" s="3">
        <v>737</v>
      </c>
      <c r="B738" s="2">
        <v>0.4757476281955868</v>
      </c>
    </row>
    <row r="739" spans="1:2" x14ac:dyDescent="0.2">
      <c r="A739" s="3">
        <v>738</v>
      </c>
      <c r="B739" s="2">
        <v>0.32082738730255544</v>
      </c>
    </row>
    <row r="740" spans="1:2" x14ac:dyDescent="0.2">
      <c r="A740" s="3">
        <v>739</v>
      </c>
      <c r="B740" s="2">
        <v>0.13349711046427504</v>
      </c>
    </row>
    <row r="741" spans="1:2" x14ac:dyDescent="0.2">
      <c r="A741" s="3">
        <v>740</v>
      </c>
      <c r="B741" s="2">
        <v>0.64703232197926275</v>
      </c>
    </row>
    <row r="742" spans="1:2" x14ac:dyDescent="0.2">
      <c r="A742" s="3">
        <v>741</v>
      </c>
      <c r="B742" s="2">
        <v>0.80999772654221958</v>
      </c>
    </row>
    <row r="743" spans="1:2" x14ac:dyDescent="0.2">
      <c r="A743" s="3">
        <v>742</v>
      </c>
      <c r="B743" s="2">
        <v>0.5859873778826401</v>
      </c>
    </row>
    <row r="744" spans="1:2" x14ac:dyDescent="0.2">
      <c r="A744" s="3">
        <v>743</v>
      </c>
      <c r="B744" s="2">
        <v>0.65651651502842068</v>
      </c>
    </row>
    <row r="745" spans="1:2" x14ac:dyDescent="0.2">
      <c r="A745" s="3">
        <v>744</v>
      </c>
      <c r="B745" s="2">
        <v>0.34910933862518878</v>
      </c>
    </row>
    <row r="746" spans="1:2" x14ac:dyDescent="0.2">
      <c r="A746" s="3">
        <v>745</v>
      </c>
      <c r="B746" s="2">
        <v>0.50108825152449921</v>
      </c>
    </row>
    <row r="747" spans="1:2" x14ac:dyDescent="0.2">
      <c r="A747" s="3">
        <v>746</v>
      </c>
      <c r="B747" s="2">
        <v>0.79383371091722266</v>
      </c>
    </row>
    <row r="748" spans="1:2" x14ac:dyDescent="0.2">
      <c r="A748" s="3">
        <v>747</v>
      </c>
      <c r="B748" s="2">
        <v>0.89810933173128649</v>
      </c>
    </row>
    <row r="749" spans="1:2" x14ac:dyDescent="0.2">
      <c r="A749" s="3">
        <v>748</v>
      </c>
      <c r="B749" s="2">
        <v>0.48854448832415376</v>
      </c>
    </row>
    <row r="750" spans="1:2" x14ac:dyDescent="0.2">
      <c r="A750" s="3">
        <v>749</v>
      </c>
      <c r="B750" s="2">
        <v>0.47424030884255558</v>
      </c>
    </row>
    <row r="751" spans="1:2" x14ac:dyDescent="0.2">
      <c r="A751" s="3">
        <v>750</v>
      </c>
      <c r="B751" s="2">
        <v>0.37853893681177403</v>
      </c>
    </row>
    <row r="752" spans="1:2" x14ac:dyDescent="0.2">
      <c r="A752" s="3">
        <v>751</v>
      </c>
      <c r="B752" s="2">
        <v>0.79855632197304605</v>
      </c>
    </row>
    <row r="753" spans="1:2" x14ac:dyDescent="0.2">
      <c r="A753" s="3">
        <v>752</v>
      </c>
      <c r="B753" s="2">
        <v>0.63859835006292232</v>
      </c>
    </row>
    <row r="754" spans="1:2" x14ac:dyDescent="0.2">
      <c r="A754" s="3">
        <v>753</v>
      </c>
      <c r="B754" s="2">
        <v>0.22754231384495174</v>
      </c>
    </row>
    <row r="755" spans="1:2" x14ac:dyDescent="0.2">
      <c r="A755" s="3">
        <v>754</v>
      </c>
      <c r="B755" s="2">
        <v>0.19260418346061411</v>
      </c>
    </row>
    <row r="756" spans="1:2" x14ac:dyDescent="0.2">
      <c r="A756" s="3">
        <v>755</v>
      </c>
      <c r="B756" s="2">
        <v>0.99239109118774915</v>
      </c>
    </row>
    <row r="757" spans="1:2" x14ac:dyDescent="0.2">
      <c r="A757" s="3">
        <v>756</v>
      </c>
      <c r="B757" s="2">
        <v>0.12437170729641862</v>
      </c>
    </row>
    <row r="758" spans="1:2" x14ac:dyDescent="0.2">
      <c r="A758" s="3">
        <v>757</v>
      </c>
      <c r="B758" s="2">
        <v>0.2611301855668513</v>
      </c>
    </row>
    <row r="759" spans="1:2" x14ac:dyDescent="0.2">
      <c r="A759" s="3">
        <v>758</v>
      </c>
      <c r="B759" s="2">
        <v>0.7528304631071423</v>
      </c>
    </row>
    <row r="760" spans="1:2" x14ac:dyDescent="0.2">
      <c r="A760" s="3">
        <v>759</v>
      </c>
      <c r="B760" s="2">
        <v>0.60224670677298886</v>
      </c>
    </row>
    <row r="761" spans="1:2" x14ac:dyDescent="0.2">
      <c r="A761" s="3">
        <v>760</v>
      </c>
      <c r="B761" s="2">
        <v>0.29363072633763793</v>
      </c>
    </row>
    <row r="762" spans="1:2" x14ac:dyDescent="0.2">
      <c r="A762" s="3">
        <v>761</v>
      </c>
      <c r="B762" s="2">
        <v>0.20708043238071991</v>
      </c>
    </row>
    <row r="763" spans="1:2" x14ac:dyDescent="0.2">
      <c r="A763" s="3">
        <v>762</v>
      </c>
      <c r="B763" s="2">
        <v>0.10444197792133711</v>
      </c>
    </row>
    <row r="764" spans="1:2" x14ac:dyDescent="0.2">
      <c r="A764" s="3">
        <v>763</v>
      </c>
      <c r="B764" s="2">
        <v>0.88465742789253499</v>
      </c>
    </row>
    <row r="765" spans="1:2" x14ac:dyDescent="0.2">
      <c r="A765" s="3">
        <v>764</v>
      </c>
      <c r="B765" s="2">
        <v>0.96501765550658658</v>
      </c>
    </row>
    <row r="766" spans="1:2" x14ac:dyDescent="0.2">
      <c r="A766" s="3">
        <v>765</v>
      </c>
      <c r="B766" s="2">
        <v>0.51208422951237487</v>
      </c>
    </row>
    <row r="767" spans="1:2" x14ac:dyDescent="0.2">
      <c r="A767" s="3">
        <v>766</v>
      </c>
      <c r="B767" s="2">
        <v>0.63777757932928325</v>
      </c>
    </row>
    <row r="768" spans="1:2" x14ac:dyDescent="0.2">
      <c r="A768" s="3">
        <v>767</v>
      </c>
      <c r="B768" s="2">
        <v>0.31312890009656336</v>
      </c>
    </row>
    <row r="769" spans="1:2" x14ac:dyDescent="0.2">
      <c r="A769" s="3">
        <v>768</v>
      </c>
      <c r="B769" s="2">
        <v>0.68145550874277738</v>
      </c>
    </row>
    <row r="770" spans="1:2" x14ac:dyDescent="0.2">
      <c r="A770" s="3">
        <v>769</v>
      </c>
      <c r="B770" s="2">
        <v>0.19314052319559119</v>
      </c>
    </row>
    <row r="771" spans="1:2" x14ac:dyDescent="0.2">
      <c r="A771" s="3">
        <v>770</v>
      </c>
      <c r="B771" s="2">
        <v>0.7248913291364032</v>
      </c>
    </row>
    <row r="772" spans="1:2" x14ac:dyDescent="0.2">
      <c r="A772" s="3">
        <v>771</v>
      </c>
      <c r="B772" s="2">
        <v>0.59550810395089149</v>
      </c>
    </row>
    <row r="773" spans="1:2" x14ac:dyDescent="0.2">
      <c r="A773" s="3">
        <v>772</v>
      </c>
      <c r="B773" s="2">
        <v>0.23429317381625409</v>
      </c>
    </row>
    <row r="774" spans="1:2" x14ac:dyDescent="0.2">
      <c r="A774" s="3">
        <v>773</v>
      </c>
      <c r="B774" s="2">
        <v>0.76643730949630429</v>
      </c>
    </row>
    <row r="775" spans="1:2" x14ac:dyDescent="0.2">
      <c r="A775" s="3">
        <v>774</v>
      </c>
      <c r="B775" s="2">
        <v>0.51434316445067896</v>
      </c>
    </row>
    <row r="776" spans="1:2" x14ac:dyDescent="0.2">
      <c r="A776" s="3">
        <v>775</v>
      </c>
      <c r="B776" s="2">
        <v>0.6066767251384243</v>
      </c>
    </row>
    <row r="777" spans="1:2" x14ac:dyDescent="0.2">
      <c r="A777" s="3">
        <v>776</v>
      </c>
      <c r="B777" s="2">
        <v>0.30482162113495881</v>
      </c>
    </row>
    <row r="778" spans="1:2" x14ac:dyDescent="0.2">
      <c r="A778" s="3">
        <v>777</v>
      </c>
      <c r="B778" s="2">
        <v>0.90471770857928058</v>
      </c>
    </row>
    <row r="779" spans="1:2" x14ac:dyDescent="0.2">
      <c r="A779" s="3">
        <v>778</v>
      </c>
      <c r="B779" s="2">
        <v>0.33498297230719265</v>
      </c>
    </row>
    <row r="780" spans="1:2" x14ac:dyDescent="0.2">
      <c r="A780" s="3">
        <v>779</v>
      </c>
      <c r="B780" s="2">
        <v>0.51642753266566221</v>
      </c>
    </row>
    <row r="781" spans="1:2" x14ac:dyDescent="0.2">
      <c r="A781" s="3">
        <v>780</v>
      </c>
      <c r="B781" s="2">
        <v>0.4691811505523189</v>
      </c>
    </row>
    <row r="782" spans="1:2" x14ac:dyDescent="0.2">
      <c r="A782" s="3">
        <v>781</v>
      </c>
      <c r="B782" s="2">
        <v>0.19366929154961918</v>
      </c>
    </row>
    <row r="783" spans="1:2" x14ac:dyDescent="0.2">
      <c r="A783" s="3">
        <v>782</v>
      </c>
      <c r="B783" s="2">
        <v>0.90598931897481205</v>
      </c>
    </row>
    <row r="784" spans="1:2" x14ac:dyDescent="0.2">
      <c r="A784" s="3">
        <v>783</v>
      </c>
      <c r="B784" s="2">
        <v>0.96676612813388019</v>
      </c>
    </row>
    <row r="785" spans="1:2" x14ac:dyDescent="0.2">
      <c r="A785" s="3">
        <v>784</v>
      </c>
      <c r="B785" s="2">
        <v>0.55159077859979189</v>
      </c>
    </row>
    <row r="786" spans="1:2" x14ac:dyDescent="0.2">
      <c r="A786" s="3">
        <v>785</v>
      </c>
      <c r="B786" s="2">
        <v>0.52181136774419201</v>
      </c>
    </row>
    <row r="787" spans="1:2" x14ac:dyDescent="0.2">
      <c r="A787" s="3">
        <v>786</v>
      </c>
      <c r="B787" s="2">
        <v>0.38762127635389182</v>
      </c>
    </row>
    <row r="788" spans="1:2" x14ac:dyDescent="0.2">
      <c r="A788" s="3">
        <v>787</v>
      </c>
      <c r="B788" s="2">
        <v>0.89162721781245857</v>
      </c>
    </row>
    <row r="789" spans="1:2" x14ac:dyDescent="0.2">
      <c r="A789" s="3">
        <v>788</v>
      </c>
      <c r="B789" s="2">
        <v>0.98457898771159968</v>
      </c>
    </row>
    <row r="790" spans="1:2" x14ac:dyDescent="0.2">
      <c r="A790" s="3">
        <v>789</v>
      </c>
      <c r="B790" s="2">
        <v>0.33064620500420849</v>
      </c>
    </row>
    <row r="791" spans="1:2" x14ac:dyDescent="0.2">
      <c r="A791" s="3">
        <v>790</v>
      </c>
      <c r="B791" s="2">
        <v>6.4972361508208384E-2</v>
      </c>
    </row>
    <row r="792" spans="1:2" x14ac:dyDescent="0.2">
      <c r="A792" s="3">
        <v>791</v>
      </c>
      <c r="B792" s="2">
        <v>4.7151092898726921E-3</v>
      </c>
    </row>
    <row r="793" spans="1:2" x14ac:dyDescent="0.2">
      <c r="A793" s="3">
        <v>792</v>
      </c>
      <c r="B793" s="2">
        <v>0.4406621892332826</v>
      </c>
    </row>
    <row r="794" spans="1:2" x14ac:dyDescent="0.2">
      <c r="A794" s="3">
        <v>793</v>
      </c>
      <c r="B794" s="2">
        <v>0.85779345976783627</v>
      </c>
    </row>
    <row r="795" spans="1:2" x14ac:dyDescent="0.2">
      <c r="A795" s="3">
        <v>794</v>
      </c>
      <c r="B795" s="2">
        <v>0.71680824407149313</v>
      </c>
    </row>
    <row r="796" spans="1:2" x14ac:dyDescent="0.2">
      <c r="A796" s="3">
        <v>795</v>
      </c>
      <c r="B796" s="2">
        <v>4.9818600632105012E-2</v>
      </c>
    </row>
    <row r="797" spans="1:2" x14ac:dyDescent="0.2">
      <c r="A797" s="3">
        <v>796</v>
      </c>
      <c r="B797" s="2">
        <v>0.19873639362052786</v>
      </c>
    </row>
    <row r="798" spans="1:2" x14ac:dyDescent="0.2">
      <c r="A798" s="3">
        <v>797</v>
      </c>
      <c r="B798" s="2">
        <v>0.61633352437047173</v>
      </c>
    </row>
    <row r="799" spans="1:2" x14ac:dyDescent="0.2">
      <c r="A799" s="3">
        <v>798</v>
      </c>
      <c r="B799" s="2">
        <v>0.58729757053978049</v>
      </c>
    </row>
    <row r="800" spans="1:2" x14ac:dyDescent="0.2">
      <c r="A800" s="3">
        <v>799</v>
      </c>
      <c r="B800" s="2">
        <v>0.38585109772924564</v>
      </c>
    </row>
    <row r="801" spans="1:2" x14ac:dyDescent="0.2">
      <c r="A801" s="3">
        <v>800</v>
      </c>
      <c r="B801" s="2">
        <v>0.12517090084610838</v>
      </c>
    </row>
    <row r="802" spans="1:2" x14ac:dyDescent="0.2">
      <c r="A802" s="3">
        <v>801</v>
      </c>
      <c r="B802" s="2">
        <v>1.6136906092358468E-2</v>
      </c>
    </row>
    <row r="803" spans="1:2" x14ac:dyDescent="0.2">
      <c r="A803" s="3">
        <v>802</v>
      </c>
      <c r="B803" s="2">
        <v>9.6157726781713804E-2</v>
      </c>
    </row>
    <row r="804" spans="1:2" x14ac:dyDescent="0.2">
      <c r="A804" s="3">
        <v>803</v>
      </c>
      <c r="B804" s="2">
        <v>0.79235393459342507</v>
      </c>
    </row>
    <row r="805" spans="1:2" x14ac:dyDescent="0.2">
      <c r="A805" s="3">
        <v>804</v>
      </c>
      <c r="B805" s="2">
        <v>0.14105398819016607</v>
      </c>
    </row>
    <row r="806" spans="1:2" x14ac:dyDescent="0.2">
      <c r="A806" s="3">
        <v>805</v>
      </c>
      <c r="B806" s="2">
        <v>0.15278958952826011</v>
      </c>
    </row>
    <row r="807" spans="1:2" x14ac:dyDescent="0.2">
      <c r="A807" s="3">
        <v>806</v>
      </c>
      <c r="B807" s="2">
        <v>0.87530222077520847</v>
      </c>
    </row>
    <row r="808" spans="1:2" x14ac:dyDescent="0.2">
      <c r="A808" s="3">
        <v>807</v>
      </c>
      <c r="B808" s="2">
        <v>0.67502024546092554</v>
      </c>
    </row>
    <row r="809" spans="1:2" x14ac:dyDescent="0.2">
      <c r="A809" s="3">
        <v>808</v>
      </c>
      <c r="B809" s="2">
        <v>0.57053316699222356</v>
      </c>
    </row>
    <row r="810" spans="1:2" x14ac:dyDescent="0.2">
      <c r="A810" s="3">
        <v>809</v>
      </c>
      <c r="B810" s="2">
        <v>0.89106740724962441</v>
      </c>
    </row>
    <row r="811" spans="1:2" x14ac:dyDescent="0.2">
      <c r="A811" s="3">
        <v>810</v>
      </c>
      <c r="B811" s="2">
        <v>0.14949347577253769</v>
      </c>
    </row>
    <row r="812" spans="1:2" x14ac:dyDescent="0.2">
      <c r="A812" s="3">
        <v>811</v>
      </c>
      <c r="B812" s="2">
        <v>0.95289173735116794</v>
      </c>
    </row>
    <row r="813" spans="1:2" x14ac:dyDescent="0.2">
      <c r="A813" s="3">
        <v>812</v>
      </c>
      <c r="B813" s="2">
        <v>0.99969298540756002</v>
      </c>
    </row>
    <row r="814" spans="1:2" x14ac:dyDescent="0.2">
      <c r="A814" s="3">
        <v>813</v>
      </c>
      <c r="B814" s="2">
        <v>0.31723003096946822</v>
      </c>
    </row>
    <row r="815" spans="1:2" x14ac:dyDescent="0.2">
      <c r="A815" s="3">
        <v>814</v>
      </c>
      <c r="B815" s="2">
        <v>1.1721088194613649E-2</v>
      </c>
    </row>
    <row r="816" spans="1:2" x14ac:dyDescent="0.2">
      <c r="A816" s="3">
        <v>815</v>
      </c>
      <c r="B816" s="2">
        <v>0.80130821082395409</v>
      </c>
    </row>
    <row r="817" spans="1:2" x14ac:dyDescent="0.2">
      <c r="A817" s="3">
        <v>816</v>
      </c>
      <c r="B817" s="2">
        <v>0.50281589817754035</v>
      </c>
    </row>
    <row r="818" spans="1:2" x14ac:dyDescent="0.2">
      <c r="A818" s="3">
        <v>817</v>
      </c>
      <c r="B818" s="2">
        <v>0.24161284418859985</v>
      </c>
    </row>
    <row r="819" spans="1:2" x14ac:dyDescent="0.2">
      <c r="A819" s="3">
        <v>818</v>
      </c>
      <c r="B819" s="2">
        <v>0.29214291044969393</v>
      </c>
    </row>
    <row r="820" spans="1:2" x14ac:dyDescent="0.2">
      <c r="A820" s="3">
        <v>819</v>
      </c>
      <c r="B820" s="2">
        <v>0.8288465250469319</v>
      </c>
    </row>
    <row r="821" spans="1:2" x14ac:dyDescent="0.2">
      <c r="A821" s="3">
        <v>820</v>
      </c>
      <c r="B821" s="2">
        <v>0.7270283769190018</v>
      </c>
    </row>
    <row r="822" spans="1:2" x14ac:dyDescent="0.2">
      <c r="A822" s="3">
        <v>821</v>
      </c>
      <c r="B822" s="2">
        <v>0.2774870348729972</v>
      </c>
    </row>
    <row r="823" spans="1:2" x14ac:dyDescent="0.2">
      <c r="A823" s="3">
        <v>822</v>
      </c>
      <c r="B823" s="2">
        <v>0.47282883475872295</v>
      </c>
    </row>
    <row r="824" spans="1:2" x14ac:dyDescent="0.2">
      <c r="A824" s="3">
        <v>823</v>
      </c>
      <c r="B824" s="2">
        <v>0.94182691917943795</v>
      </c>
    </row>
    <row r="825" spans="1:2" x14ac:dyDescent="0.2">
      <c r="A825" s="3">
        <v>824</v>
      </c>
      <c r="B825" s="2">
        <v>0.60828778659423033</v>
      </c>
    </row>
    <row r="826" spans="1:2" x14ac:dyDescent="0.2">
      <c r="A826" s="3">
        <v>825</v>
      </c>
      <c r="B826" s="2">
        <v>0.63034400321580586</v>
      </c>
    </row>
    <row r="827" spans="1:2" x14ac:dyDescent="0.2">
      <c r="A827" s="3">
        <v>826</v>
      </c>
      <c r="B827" s="2">
        <v>5.7584771618610628E-2</v>
      </c>
    </row>
    <row r="828" spans="1:2" x14ac:dyDescent="0.2">
      <c r="A828" s="3">
        <v>827</v>
      </c>
      <c r="B828" s="2">
        <v>0.73520352498623887</v>
      </c>
    </row>
    <row r="829" spans="1:2" x14ac:dyDescent="0.2">
      <c r="A829" s="3">
        <v>828</v>
      </c>
      <c r="B829" s="2">
        <v>0.93071606331116996</v>
      </c>
    </row>
    <row r="830" spans="1:2" x14ac:dyDescent="0.2">
      <c r="A830" s="3">
        <v>829</v>
      </c>
      <c r="B830" s="2">
        <v>0.82578808361997302</v>
      </c>
    </row>
    <row r="831" spans="1:2" x14ac:dyDescent="0.2">
      <c r="A831" s="3">
        <v>830</v>
      </c>
      <c r="B831" s="2">
        <v>0.86348697197120194</v>
      </c>
    </row>
    <row r="832" spans="1:2" x14ac:dyDescent="0.2">
      <c r="A832" s="3">
        <v>831</v>
      </c>
      <c r="B832" s="2">
        <v>0.58362485959971488</v>
      </c>
    </row>
    <row r="833" spans="1:2" x14ac:dyDescent="0.2">
      <c r="A833" s="3">
        <v>832</v>
      </c>
      <c r="B833" s="2">
        <v>0.35043489770658331</v>
      </c>
    </row>
    <row r="834" spans="1:2" x14ac:dyDescent="0.2">
      <c r="A834" s="3">
        <v>833</v>
      </c>
      <c r="B834" s="2">
        <v>0.66822840593978261</v>
      </c>
    </row>
    <row r="835" spans="1:2" x14ac:dyDescent="0.2">
      <c r="A835" s="3">
        <v>834</v>
      </c>
      <c r="B835" s="2">
        <v>0.12338403086211938</v>
      </c>
    </row>
    <row r="836" spans="1:2" x14ac:dyDescent="0.2">
      <c r="A836" s="3">
        <v>835</v>
      </c>
      <c r="B836" s="2">
        <v>0.19964595809386942</v>
      </c>
    </row>
    <row r="837" spans="1:2" x14ac:dyDescent="0.2">
      <c r="A837" s="3">
        <v>836</v>
      </c>
      <c r="B837" s="2">
        <v>2.8330763363407625E-2</v>
      </c>
    </row>
    <row r="838" spans="1:2" x14ac:dyDescent="0.2">
      <c r="A838" s="3">
        <v>837</v>
      </c>
      <c r="B838" s="2">
        <v>0.33334723985332432</v>
      </c>
    </row>
    <row r="839" spans="1:2" x14ac:dyDescent="0.2">
      <c r="A839" s="3">
        <v>838</v>
      </c>
      <c r="B839" s="2">
        <v>0.11390381698892475</v>
      </c>
    </row>
    <row r="840" spans="1:2" x14ac:dyDescent="0.2">
      <c r="A840" s="3">
        <v>839</v>
      </c>
      <c r="B840" s="2">
        <v>2.1376757543264905E-2</v>
      </c>
    </row>
    <row r="841" spans="1:2" x14ac:dyDescent="0.2">
      <c r="A841" s="3">
        <v>840</v>
      </c>
      <c r="B841" s="2">
        <v>0.13238497224238197</v>
      </c>
    </row>
    <row r="842" spans="1:2" x14ac:dyDescent="0.2">
      <c r="A842" s="3">
        <v>841</v>
      </c>
      <c r="B842" s="2">
        <v>0.99546950345059781</v>
      </c>
    </row>
    <row r="843" spans="1:2" x14ac:dyDescent="0.2">
      <c r="A843" s="3">
        <v>842</v>
      </c>
      <c r="B843" s="2">
        <v>5.9774646184711989E-2</v>
      </c>
    </row>
    <row r="844" spans="1:2" x14ac:dyDescent="0.2">
      <c r="A844" s="3">
        <v>843</v>
      </c>
      <c r="B844" s="2">
        <v>0.14958985574877021</v>
      </c>
    </row>
    <row r="845" spans="1:2" x14ac:dyDescent="0.2">
      <c r="A845" s="3">
        <v>844</v>
      </c>
      <c r="B845" s="2">
        <v>0.76815764733490766</v>
      </c>
    </row>
    <row r="846" spans="1:2" x14ac:dyDescent="0.2">
      <c r="A846" s="3">
        <v>845</v>
      </c>
      <c r="B846" s="2">
        <v>0.25061764356009419</v>
      </c>
    </row>
    <row r="847" spans="1:2" x14ac:dyDescent="0.2">
      <c r="A847" s="3">
        <v>846</v>
      </c>
      <c r="B847" s="2">
        <v>0.88718351471092005</v>
      </c>
    </row>
    <row r="848" spans="1:2" x14ac:dyDescent="0.2">
      <c r="A848" s="3">
        <v>847</v>
      </c>
      <c r="B848" s="2">
        <v>0.82363358333175229</v>
      </c>
    </row>
    <row r="849" spans="1:2" x14ac:dyDescent="0.2">
      <c r="A849" s="3">
        <v>848</v>
      </c>
      <c r="B849" s="2">
        <v>0.23227879407775229</v>
      </c>
    </row>
    <row r="850" spans="1:2" x14ac:dyDescent="0.2">
      <c r="A850" s="3">
        <v>849</v>
      </c>
      <c r="B850" s="2">
        <v>0.46459359583686433</v>
      </c>
    </row>
    <row r="851" spans="1:2" x14ac:dyDescent="0.2">
      <c r="A851" s="3">
        <v>850</v>
      </c>
      <c r="B851" s="2">
        <v>0.68259312698351993</v>
      </c>
    </row>
    <row r="852" spans="1:2" x14ac:dyDescent="0.2">
      <c r="A852" s="3">
        <v>851</v>
      </c>
      <c r="B852" s="2">
        <v>0.58082085365037583</v>
      </c>
    </row>
    <row r="853" spans="1:2" x14ac:dyDescent="0.2">
      <c r="A853" s="3">
        <v>852</v>
      </c>
      <c r="B853" s="2">
        <v>0.27874638450260292</v>
      </c>
    </row>
    <row r="854" spans="1:2" x14ac:dyDescent="0.2">
      <c r="A854" s="3">
        <v>853</v>
      </c>
      <c r="B854" s="2">
        <v>0.63055281000480834</v>
      </c>
    </row>
    <row r="855" spans="1:2" x14ac:dyDescent="0.2">
      <c r="A855" s="3">
        <v>854</v>
      </c>
      <c r="B855" s="2">
        <v>0.21947326006619947</v>
      </c>
    </row>
    <row r="856" spans="1:2" x14ac:dyDescent="0.2">
      <c r="A856" s="3">
        <v>855</v>
      </c>
      <c r="B856" s="2">
        <v>5.1368296994924595E-2</v>
      </c>
    </row>
    <row r="857" spans="1:2" x14ac:dyDescent="0.2">
      <c r="A857" s="3">
        <v>856</v>
      </c>
      <c r="B857" s="2">
        <v>0.82233137604599993</v>
      </c>
    </row>
    <row r="858" spans="1:2" x14ac:dyDescent="0.2">
      <c r="A858" s="3">
        <v>857</v>
      </c>
      <c r="B858" s="2">
        <v>0.64480413494553379</v>
      </c>
    </row>
    <row r="859" spans="1:2" x14ac:dyDescent="0.2">
      <c r="A859" s="3">
        <v>858</v>
      </c>
      <c r="B859" s="2">
        <v>0.603523378911063</v>
      </c>
    </row>
    <row r="860" spans="1:2" x14ac:dyDescent="0.2">
      <c r="A860" s="3">
        <v>859</v>
      </c>
      <c r="B860" s="2">
        <v>0.70906380681181991</v>
      </c>
    </row>
    <row r="861" spans="1:2" x14ac:dyDescent="0.2">
      <c r="A861" s="3">
        <v>860</v>
      </c>
      <c r="B861" s="2">
        <v>0.91615061214441107</v>
      </c>
    </row>
    <row r="862" spans="1:2" x14ac:dyDescent="0.2">
      <c r="A862" s="3">
        <v>861</v>
      </c>
      <c r="B862" s="2">
        <v>0.33949296342881013</v>
      </c>
    </row>
    <row r="863" spans="1:2" x14ac:dyDescent="0.2">
      <c r="A863" s="3">
        <v>862</v>
      </c>
      <c r="B863" s="2">
        <v>0.83650153806286998</v>
      </c>
    </row>
    <row r="864" spans="1:2" x14ac:dyDescent="0.2">
      <c r="A864" s="3">
        <v>863</v>
      </c>
      <c r="B864" s="2">
        <v>0.35155600813278087</v>
      </c>
    </row>
    <row r="865" spans="1:2" x14ac:dyDescent="0.2">
      <c r="A865" s="3">
        <v>864</v>
      </c>
      <c r="B865" s="2">
        <v>0.35905755906348169</v>
      </c>
    </row>
    <row r="866" spans="1:2" x14ac:dyDescent="0.2">
      <c r="A866" s="3">
        <v>865</v>
      </c>
      <c r="B866" s="2">
        <v>4.3691117189807978E-3</v>
      </c>
    </row>
    <row r="867" spans="1:2" x14ac:dyDescent="0.2">
      <c r="A867" s="3">
        <v>866</v>
      </c>
      <c r="B867" s="2">
        <v>0.5882433870263426</v>
      </c>
    </row>
    <row r="868" spans="1:2" x14ac:dyDescent="0.2">
      <c r="A868" s="3">
        <v>867</v>
      </c>
      <c r="B868" s="2">
        <v>0.4844142152274038</v>
      </c>
    </row>
    <row r="869" spans="1:2" x14ac:dyDescent="0.2">
      <c r="A869" s="3">
        <v>868</v>
      </c>
      <c r="B869" s="2">
        <v>0.31658404757808667</v>
      </c>
    </row>
    <row r="870" spans="1:2" x14ac:dyDescent="0.2">
      <c r="A870" s="3">
        <v>869</v>
      </c>
      <c r="B870" s="2">
        <v>0.79545098653149249</v>
      </c>
    </row>
    <row r="871" spans="1:2" x14ac:dyDescent="0.2">
      <c r="A871" s="3">
        <v>870</v>
      </c>
      <c r="B871" s="2">
        <v>7.496198300910048E-2</v>
      </c>
    </row>
    <row r="872" spans="1:2" x14ac:dyDescent="0.2">
      <c r="A872" s="3">
        <v>871</v>
      </c>
      <c r="B872" s="2">
        <v>0.30168530906626079</v>
      </c>
    </row>
    <row r="873" spans="1:2" x14ac:dyDescent="0.2">
      <c r="A873" s="3">
        <v>872</v>
      </c>
      <c r="B873" s="2">
        <v>0.36829219805950186</v>
      </c>
    </row>
    <row r="874" spans="1:2" x14ac:dyDescent="0.2">
      <c r="A874" s="3">
        <v>873</v>
      </c>
      <c r="B874" s="2">
        <v>0.41515992005878788</v>
      </c>
    </row>
    <row r="875" spans="1:2" x14ac:dyDescent="0.2">
      <c r="A875" s="3">
        <v>874</v>
      </c>
      <c r="B875" s="2">
        <v>0.22874132909423572</v>
      </c>
    </row>
    <row r="876" spans="1:2" x14ac:dyDescent="0.2">
      <c r="A876" s="3">
        <v>875</v>
      </c>
      <c r="B876" s="2">
        <v>0.79874878698321039</v>
      </c>
    </row>
    <row r="877" spans="1:2" x14ac:dyDescent="0.2">
      <c r="A877" s="3">
        <v>876</v>
      </c>
      <c r="B877" s="2">
        <v>0.38677863050664779</v>
      </c>
    </row>
    <row r="878" spans="1:2" x14ac:dyDescent="0.2">
      <c r="A878" s="3">
        <v>877</v>
      </c>
      <c r="B878" s="2">
        <v>0.39808028133252765</v>
      </c>
    </row>
    <row r="879" spans="1:2" x14ac:dyDescent="0.2">
      <c r="A879" s="3">
        <v>878</v>
      </c>
      <c r="B879" s="2">
        <v>0.59812669184071932</v>
      </c>
    </row>
    <row r="880" spans="1:2" x14ac:dyDescent="0.2">
      <c r="A880" s="3">
        <v>879</v>
      </c>
      <c r="B880" s="2">
        <v>0.98761297645199841</v>
      </c>
    </row>
    <row r="881" spans="1:2" x14ac:dyDescent="0.2">
      <c r="A881" s="3">
        <v>880</v>
      </c>
      <c r="B881" s="2">
        <v>0.30120610574276196</v>
      </c>
    </row>
    <row r="882" spans="1:2" x14ac:dyDescent="0.2">
      <c r="A882" s="3">
        <v>881</v>
      </c>
      <c r="B882" s="2">
        <v>0.74137918090965715</v>
      </c>
    </row>
    <row r="883" spans="1:2" x14ac:dyDescent="0.2">
      <c r="A883" s="3">
        <v>882</v>
      </c>
      <c r="B883" s="2">
        <v>0.50642008231169511</v>
      </c>
    </row>
    <row r="884" spans="1:2" x14ac:dyDescent="0.2">
      <c r="A884" s="3">
        <v>883</v>
      </c>
      <c r="B884" s="2">
        <v>0.52967110724888222</v>
      </c>
    </row>
    <row r="885" spans="1:2" x14ac:dyDescent="0.2">
      <c r="A885" s="3">
        <v>884</v>
      </c>
      <c r="B885" s="2">
        <v>0.6128848329628569</v>
      </c>
    </row>
    <row r="886" spans="1:2" x14ac:dyDescent="0.2">
      <c r="A886" s="3">
        <v>885</v>
      </c>
      <c r="B886" s="2">
        <v>0.64804838153616184</v>
      </c>
    </row>
    <row r="887" spans="1:2" x14ac:dyDescent="0.2">
      <c r="A887" s="3">
        <v>886</v>
      </c>
      <c r="B887" s="2">
        <v>0.45378282543576354</v>
      </c>
    </row>
    <row r="888" spans="1:2" x14ac:dyDescent="0.2">
      <c r="A888" s="3">
        <v>887</v>
      </c>
      <c r="B888" s="2">
        <v>0.17969954482905656</v>
      </c>
    </row>
    <row r="889" spans="1:2" x14ac:dyDescent="0.2">
      <c r="A889" s="3">
        <v>888</v>
      </c>
      <c r="B889" s="2">
        <v>0.62714372827228893</v>
      </c>
    </row>
    <row r="890" spans="1:2" x14ac:dyDescent="0.2">
      <c r="A890" s="3">
        <v>889</v>
      </c>
      <c r="B890" s="2">
        <v>0.17932339854928947</v>
      </c>
    </row>
    <row r="891" spans="1:2" x14ac:dyDescent="0.2">
      <c r="A891" s="3">
        <v>890</v>
      </c>
      <c r="B891" s="2">
        <v>0.22852898225184592</v>
      </c>
    </row>
    <row r="892" spans="1:2" x14ac:dyDescent="0.2">
      <c r="A892" s="3">
        <v>891</v>
      </c>
      <c r="B892" s="2">
        <v>0.96941296765419793</v>
      </c>
    </row>
    <row r="893" spans="1:2" x14ac:dyDescent="0.2">
      <c r="A893" s="3">
        <v>892</v>
      </c>
      <c r="B893" s="2">
        <v>0.66839269238845223</v>
      </c>
    </row>
    <row r="894" spans="1:2" x14ac:dyDescent="0.2">
      <c r="A894" s="3">
        <v>893</v>
      </c>
      <c r="B894" s="2">
        <v>0.48497862894265831</v>
      </c>
    </row>
    <row r="895" spans="1:2" x14ac:dyDescent="0.2">
      <c r="A895" s="3">
        <v>894</v>
      </c>
      <c r="B895" s="2">
        <v>0.54985928353713476</v>
      </c>
    </row>
    <row r="896" spans="1:2" x14ac:dyDescent="0.2">
      <c r="A896" s="3">
        <v>895</v>
      </c>
      <c r="B896" s="2">
        <v>0.13707202232674551</v>
      </c>
    </row>
    <row r="897" spans="1:2" x14ac:dyDescent="0.2">
      <c r="A897" s="3">
        <v>896</v>
      </c>
      <c r="B897" s="2">
        <v>0.43208622928289925</v>
      </c>
    </row>
    <row r="898" spans="1:2" x14ac:dyDescent="0.2">
      <c r="A898" s="3">
        <v>897</v>
      </c>
      <c r="B898" s="2">
        <v>2.9566083554222078E-2</v>
      </c>
    </row>
    <row r="899" spans="1:2" x14ac:dyDescent="0.2">
      <c r="A899" s="3">
        <v>898</v>
      </c>
      <c r="B899" s="2">
        <v>0.13944700040811622</v>
      </c>
    </row>
    <row r="900" spans="1:2" x14ac:dyDescent="0.2">
      <c r="A900" s="3">
        <v>899</v>
      </c>
      <c r="B900" s="2">
        <v>0.81350334090071419</v>
      </c>
    </row>
    <row r="901" spans="1:2" x14ac:dyDescent="0.2">
      <c r="A901" s="3">
        <v>900</v>
      </c>
      <c r="B901" s="2">
        <v>0.91532181930743506</v>
      </c>
    </row>
    <row r="902" spans="1:2" x14ac:dyDescent="0.2">
      <c r="A902" s="3">
        <v>901</v>
      </c>
      <c r="B902" s="2">
        <v>0.77617929995064827</v>
      </c>
    </row>
    <row r="903" spans="1:2" x14ac:dyDescent="0.2">
      <c r="A903" s="3">
        <v>902</v>
      </c>
      <c r="B903" s="2">
        <v>0.12371472052192811</v>
      </c>
    </row>
    <row r="904" spans="1:2" x14ac:dyDescent="0.2">
      <c r="A904" s="3">
        <v>903</v>
      </c>
      <c r="B904" s="2">
        <v>0.51541538004369025</v>
      </c>
    </row>
    <row r="905" spans="1:2" x14ac:dyDescent="0.2">
      <c r="A905" s="3">
        <v>904</v>
      </c>
      <c r="B905" s="2">
        <v>0.85290344392744277</v>
      </c>
    </row>
    <row r="906" spans="1:2" x14ac:dyDescent="0.2">
      <c r="A906" s="3">
        <v>905</v>
      </c>
      <c r="B906" s="2">
        <v>0.74505215045005535</v>
      </c>
    </row>
    <row r="907" spans="1:2" x14ac:dyDescent="0.2">
      <c r="A907" s="3">
        <v>906</v>
      </c>
      <c r="B907" s="2">
        <v>0.69438583898742845</v>
      </c>
    </row>
    <row r="908" spans="1:2" x14ac:dyDescent="0.2">
      <c r="A908" s="3">
        <v>907</v>
      </c>
      <c r="B908" s="2">
        <v>0.59439304282158389</v>
      </c>
    </row>
    <row r="909" spans="1:2" x14ac:dyDescent="0.2">
      <c r="A909" s="3">
        <v>908</v>
      </c>
      <c r="B909" s="2">
        <v>0.37297198975794399</v>
      </c>
    </row>
    <row r="910" spans="1:2" x14ac:dyDescent="0.2">
      <c r="A910" s="3">
        <v>909</v>
      </c>
      <c r="B910" s="2">
        <v>9.738317474621809E-2</v>
      </c>
    </row>
    <row r="911" spans="1:2" x14ac:dyDescent="0.2">
      <c r="A911" s="3">
        <v>910</v>
      </c>
      <c r="B911" s="2">
        <v>0.98472194664757606</v>
      </c>
    </row>
    <row r="912" spans="1:2" x14ac:dyDescent="0.2">
      <c r="A912" s="3">
        <v>911</v>
      </c>
      <c r="B912" s="2">
        <v>0.42495451722726457</v>
      </c>
    </row>
    <row r="913" spans="1:2" x14ac:dyDescent="0.2">
      <c r="A913" s="3">
        <v>912</v>
      </c>
      <c r="B913" s="2">
        <v>0.53845926153155077</v>
      </c>
    </row>
    <row r="914" spans="1:2" x14ac:dyDescent="0.2">
      <c r="A914" s="3">
        <v>913</v>
      </c>
      <c r="B914" s="2">
        <v>0.43783185431631089</v>
      </c>
    </row>
    <row r="915" spans="1:2" x14ac:dyDescent="0.2">
      <c r="A915" s="3">
        <v>914</v>
      </c>
      <c r="B915" s="2">
        <v>0.56602093447215629</v>
      </c>
    </row>
    <row r="916" spans="1:2" x14ac:dyDescent="0.2">
      <c r="A916" s="3">
        <v>915</v>
      </c>
      <c r="B916" s="2">
        <v>0.72085066920657392</v>
      </c>
    </row>
    <row r="917" spans="1:2" x14ac:dyDescent="0.2">
      <c r="A917" s="3">
        <v>916</v>
      </c>
      <c r="B917" s="2">
        <v>0.30099481623274499</v>
      </c>
    </row>
    <row r="918" spans="1:2" x14ac:dyDescent="0.2">
      <c r="A918" s="3">
        <v>917</v>
      </c>
      <c r="B918" s="2">
        <v>0.9371332297332865</v>
      </c>
    </row>
    <row r="919" spans="1:2" x14ac:dyDescent="0.2">
      <c r="A919" s="3">
        <v>918</v>
      </c>
      <c r="B919" s="2">
        <v>0.46312347839733969</v>
      </c>
    </row>
    <row r="920" spans="1:2" x14ac:dyDescent="0.2">
      <c r="A920" s="3">
        <v>919</v>
      </c>
      <c r="B920" s="2">
        <v>0.43722784675767112</v>
      </c>
    </row>
    <row r="921" spans="1:2" x14ac:dyDescent="0.2">
      <c r="A921" s="3">
        <v>920</v>
      </c>
      <c r="B921" s="2">
        <v>0.86573138192564503</v>
      </c>
    </row>
    <row r="922" spans="1:2" x14ac:dyDescent="0.2">
      <c r="A922" s="3">
        <v>921</v>
      </c>
      <c r="B922" s="2">
        <v>8.1795186136804629E-2</v>
      </c>
    </row>
    <row r="923" spans="1:2" x14ac:dyDescent="0.2">
      <c r="A923" s="3">
        <v>922</v>
      </c>
      <c r="B923" s="2">
        <v>0.18385821825275242</v>
      </c>
    </row>
    <row r="924" spans="1:2" x14ac:dyDescent="0.2">
      <c r="A924" s="3">
        <v>923</v>
      </c>
      <c r="B924" s="2">
        <v>0.12002617851438366</v>
      </c>
    </row>
    <row r="925" spans="1:2" x14ac:dyDescent="0.2">
      <c r="A925" s="3">
        <v>924</v>
      </c>
      <c r="B925" s="2">
        <v>0.8211391861836933</v>
      </c>
    </row>
    <row r="926" spans="1:2" x14ac:dyDescent="0.2">
      <c r="A926" s="3">
        <v>925</v>
      </c>
      <c r="B926" s="2">
        <v>0.7177277747839732</v>
      </c>
    </row>
    <row r="927" spans="1:2" x14ac:dyDescent="0.2">
      <c r="A927" s="3">
        <v>926</v>
      </c>
      <c r="B927" s="2">
        <v>0.9799491886190389</v>
      </c>
    </row>
    <row r="928" spans="1:2" x14ac:dyDescent="0.2">
      <c r="A928" s="3">
        <v>927</v>
      </c>
      <c r="B928" s="2">
        <v>0.36810124006007261</v>
      </c>
    </row>
    <row r="929" spans="1:2" x14ac:dyDescent="0.2">
      <c r="A929" s="3">
        <v>928</v>
      </c>
      <c r="B929" s="2">
        <v>0.6281051101159203</v>
      </c>
    </row>
    <row r="930" spans="1:2" x14ac:dyDescent="0.2">
      <c r="A930" s="3">
        <v>929</v>
      </c>
      <c r="B930" s="2">
        <v>0.38493374850657092</v>
      </c>
    </row>
    <row r="931" spans="1:2" x14ac:dyDescent="0.2">
      <c r="A931" s="3">
        <v>930</v>
      </c>
      <c r="B931" s="2">
        <v>0.37677829164320931</v>
      </c>
    </row>
    <row r="932" spans="1:2" x14ac:dyDescent="0.2">
      <c r="A932" s="3">
        <v>931</v>
      </c>
      <c r="B932" s="2">
        <v>0.8387938954134011</v>
      </c>
    </row>
    <row r="933" spans="1:2" x14ac:dyDescent="0.2">
      <c r="A933" s="3">
        <v>932</v>
      </c>
      <c r="B933" s="2">
        <v>0.94872295681709562</v>
      </c>
    </row>
    <row r="934" spans="1:2" x14ac:dyDescent="0.2">
      <c r="A934" s="3">
        <v>933</v>
      </c>
      <c r="B934" s="2">
        <v>0.56791320693471592</v>
      </c>
    </row>
    <row r="935" spans="1:2" x14ac:dyDescent="0.2">
      <c r="A935" s="3">
        <v>934</v>
      </c>
      <c r="B935" s="2">
        <v>0.70221315609292057</v>
      </c>
    </row>
    <row r="936" spans="1:2" x14ac:dyDescent="0.2">
      <c r="A936" s="3">
        <v>935</v>
      </c>
      <c r="B936" s="2">
        <v>0.74259467162902482</v>
      </c>
    </row>
    <row r="937" spans="1:2" x14ac:dyDescent="0.2">
      <c r="A937" s="3">
        <v>936</v>
      </c>
      <c r="B937" s="2">
        <v>0.30865070475308098</v>
      </c>
    </row>
    <row r="938" spans="1:2" x14ac:dyDescent="0.2">
      <c r="A938" s="3">
        <v>937</v>
      </c>
      <c r="B938" s="2">
        <v>0.54747813105757626</v>
      </c>
    </row>
    <row r="939" spans="1:2" x14ac:dyDescent="0.2">
      <c r="A939" s="3">
        <v>938</v>
      </c>
      <c r="B939" s="2">
        <v>0.61329228286731841</v>
      </c>
    </row>
    <row r="940" spans="1:2" x14ac:dyDescent="0.2">
      <c r="A940" s="3">
        <v>939</v>
      </c>
      <c r="B940" s="2">
        <v>0.47294421361381517</v>
      </c>
    </row>
    <row r="941" spans="1:2" x14ac:dyDescent="0.2">
      <c r="A941" s="3">
        <v>940</v>
      </c>
      <c r="B941" s="2">
        <v>0.76408124663926769</v>
      </c>
    </row>
    <row r="942" spans="1:2" x14ac:dyDescent="0.2">
      <c r="A942" s="3">
        <v>941</v>
      </c>
      <c r="B942" s="2">
        <v>0.20052572706989871</v>
      </c>
    </row>
    <row r="943" spans="1:2" x14ac:dyDescent="0.2">
      <c r="A943" s="3">
        <v>942</v>
      </c>
      <c r="B943" s="2">
        <v>0.95230169152966948</v>
      </c>
    </row>
    <row r="944" spans="1:2" x14ac:dyDescent="0.2">
      <c r="A944" s="3">
        <v>943</v>
      </c>
      <c r="B944" s="2">
        <v>0.65800306768516281</v>
      </c>
    </row>
    <row r="945" spans="1:2" x14ac:dyDescent="0.2">
      <c r="A945" s="3">
        <v>944</v>
      </c>
      <c r="B945" s="2">
        <v>0.64417314667389325</v>
      </c>
    </row>
    <row r="946" spans="1:2" x14ac:dyDescent="0.2">
      <c r="A946" s="3">
        <v>945</v>
      </c>
      <c r="B946" s="2">
        <v>0.46283822243047645</v>
      </c>
    </row>
    <row r="947" spans="1:2" x14ac:dyDescent="0.2">
      <c r="A947" s="3">
        <v>946</v>
      </c>
      <c r="B947" s="2">
        <v>0.83612104239705165</v>
      </c>
    </row>
    <row r="948" spans="1:2" x14ac:dyDescent="0.2">
      <c r="A948" s="3">
        <v>947</v>
      </c>
      <c r="B948" s="2">
        <v>0.83849134756826071</v>
      </c>
    </row>
    <row r="949" spans="1:2" x14ac:dyDescent="0.2">
      <c r="A949" s="3">
        <v>948</v>
      </c>
      <c r="B949" s="2">
        <v>0.85122422728689906</v>
      </c>
    </row>
    <row r="950" spans="1:2" x14ac:dyDescent="0.2">
      <c r="A950" s="3">
        <v>949</v>
      </c>
      <c r="B950" s="2">
        <v>0.29224765385926721</v>
      </c>
    </row>
    <row r="951" spans="1:2" x14ac:dyDescent="0.2">
      <c r="A951" s="3">
        <v>950</v>
      </c>
      <c r="B951" s="2">
        <v>0.92992759034592409</v>
      </c>
    </row>
    <row r="952" spans="1:2" x14ac:dyDescent="0.2">
      <c r="A952" s="3">
        <v>951</v>
      </c>
      <c r="B952" s="2">
        <v>0.37882090218797626</v>
      </c>
    </row>
    <row r="953" spans="1:2" x14ac:dyDescent="0.2">
      <c r="A953" s="3">
        <v>952</v>
      </c>
      <c r="B953" s="2">
        <v>0.23533377623096735</v>
      </c>
    </row>
    <row r="954" spans="1:2" x14ac:dyDescent="0.2">
      <c r="A954" s="3">
        <v>953</v>
      </c>
      <c r="B954" s="2">
        <v>0.41974781325026611</v>
      </c>
    </row>
    <row r="955" spans="1:2" x14ac:dyDescent="0.2">
      <c r="A955" s="3">
        <v>954</v>
      </c>
      <c r="B955" s="2">
        <v>0.16966837852491412</v>
      </c>
    </row>
    <row r="956" spans="1:2" x14ac:dyDescent="0.2">
      <c r="A956" s="3">
        <v>955</v>
      </c>
      <c r="B956" s="2">
        <v>0.68779918833945286</v>
      </c>
    </row>
    <row r="957" spans="1:2" x14ac:dyDescent="0.2">
      <c r="A957" s="3">
        <v>956</v>
      </c>
      <c r="B957" s="2">
        <v>0.93341566617815097</v>
      </c>
    </row>
    <row r="958" spans="1:2" x14ac:dyDescent="0.2">
      <c r="A958" s="3">
        <v>957</v>
      </c>
      <c r="B958" s="2">
        <v>0.8336872652663655</v>
      </c>
    </row>
    <row r="959" spans="1:2" x14ac:dyDescent="0.2">
      <c r="A959" s="3">
        <v>958</v>
      </c>
      <c r="B959" s="2">
        <v>0.35944274603873538</v>
      </c>
    </row>
    <row r="960" spans="1:2" x14ac:dyDescent="0.2">
      <c r="A960" s="3">
        <v>959</v>
      </c>
      <c r="B960" s="2">
        <v>0.42074161328654802</v>
      </c>
    </row>
    <row r="961" spans="1:2" x14ac:dyDescent="0.2">
      <c r="A961" s="3">
        <v>960</v>
      </c>
      <c r="B961" s="2">
        <v>0.14574893366044747</v>
      </c>
    </row>
    <row r="962" spans="1:2" x14ac:dyDescent="0.2">
      <c r="A962" s="3">
        <v>961</v>
      </c>
      <c r="B962" s="2">
        <v>0.22918532597592997</v>
      </c>
    </row>
    <row r="963" spans="1:2" x14ac:dyDescent="0.2">
      <c r="A963" s="3">
        <v>962</v>
      </c>
      <c r="B963" s="2">
        <v>0.65628520523671419</v>
      </c>
    </row>
    <row r="964" spans="1:2" x14ac:dyDescent="0.2">
      <c r="A964" s="3">
        <v>963</v>
      </c>
      <c r="B964" s="2">
        <v>0.59394054990995471</v>
      </c>
    </row>
    <row r="965" spans="1:2" x14ac:dyDescent="0.2">
      <c r="A965" s="3">
        <v>964</v>
      </c>
      <c r="B965" s="2">
        <v>0.17643678409951413</v>
      </c>
    </row>
    <row r="966" spans="1:2" x14ac:dyDescent="0.2">
      <c r="A966" s="3">
        <v>965</v>
      </c>
      <c r="B966" s="2">
        <v>0.7499724534934894</v>
      </c>
    </row>
    <row r="967" spans="1:2" x14ac:dyDescent="0.2">
      <c r="A967" s="3">
        <v>966</v>
      </c>
      <c r="B967" s="2">
        <v>0.5614724937027129</v>
      </c>
    </row>
    <row r="968" spans="1:2" x14ac:dyDescent="0.2">
      <c r="A968" s="3">
        <v>967</v>
      </c>
      <c r="B968" s="2">
        <v>0.68109624422918413</v>
      </c>
    </row>
    <row r="969" spans="1:2" x14ac:dyDescent="0.2">
      <c r="A969" s="3">
        <v>968</v>
      </c>
      <c r="B969" s="2">
        <v>0.89014473083311674</v>
      </c>
    </row>
    <row r="970" spans="1:2" x14ac:dyDescent="0.2">
      <c r="A970" s="3">
        <v>969</v>
      </c>
      <c r="B970" s="2">
        <v>0.24883203069092569</v>
      </c>
    </row>
    <row r="971" spans="1:2" x14ac:dyDescent="0.2">
      <c r="A971" s="3">
        <v>970</v>
      </c>
      <c r="B971" s="2">
        <v>0.33843480405938042</v>
      </c>
    </row>
    <row r="972" spans="1:2" x14ac:dyDescent="0.2">
      <c r="A972" s="3">
        <v>971</v>
      </c>
      <c r="B972" s="2">
        <v>0.26351477489098429</v>
      </c>
    </row>
    <row r="973" spans="1:2" x14ac:dyDescent="0.2">
      <c r="A973" s="3">
        <v>972</v>
      </c>
      <c r="B973" s="2">
        <v>0.37007411502771015</v>
      </c>
    </row>
    <row r="974" spans="1:2" x14ac:dyDescent="0.2">
      <c r="A974" s="3">
        <v>973</v>
      </c>
      <c r="B974" s="2">
        <v>0.48493142308315706</v>
      </c>
    </row>
    <row r="975" spans="1:2" x14ac:dyDescent="0.2">
      <c r="A975" s="3">
        <v>974</v>
      </c>
      <c r="B975" s="2">
        <v>0.52837063743488999</v>
      </c>
    </row>
    <row r="976" spans="1:2" x14ac:dyDescent="0.2">
      <c r="A976" s="3">
        <v>975</v>
      </c>
      <c r="B976" s="2">
        <v>0.77408969810434169</v>
      </c>
    </row>
    <row r="977" spans="1:2" x14ac:dyDescent="0.2">
      <c r="A977" s="3">
        <v>976</v>
      </c>
      <c r="B977" s="2">
        <v>0.20661563674228356</v>
      </c>
    </row>
    <row r="978" spans="1:2" x14ac:dyDescent="0.2">
      <c r="A978" s="3">
        <v>977</v>
      </c>
      <c r="B978" s="2">
        <v>0.17959383131139817</v>
      </c>
    </row>
    <row r="979" spans="1:2" x14ac:dyDescent="0.2">
      <c r="A979" s="3">
        <v>978</v>
      </c>
      <c r="B979" s="2">
        <v>1.212580542600707E-2</v>
      </c>
    </row>
    <row r="980" spans="1:2" x14ac:dyDescent="0.2">
      <c r="A980" s="3">
        <v>979</v>
      </c>
      <c r="B980" s="2">
        <v>0.18019586281980773</v>
      </c>
    </row>
    <row r="981" spans="1:2" x14ac:dyDescent="0.2">
      <c r="A981" s="3">
        <v>980</v>
      </c>
      <c r="B981" s="2">
        <v>0.67243698001434704</v>
      </c>
    </row>
    <row r="982" spans="1:2" x14ac:dyDescent="0.2">
      <c r="A982" s="3">
        <v>981</v>
      </c>
      <c r="B982" s="2">
        <v>0.72062728381217789</v>
      </c>
    </row>
    <row r="983" spans="1:2" x14ac:dyDescent="0.2">
      <c r="A983" s="3">
        <v>982</v>
      </c>
      <c r="B983" s="2">
        <v>0.12308385379970453</v>
      </c>
    </row>
    <row r="984" spans="1:2" x14ac:dyDescent="0.2">
      <c r="A984" s="3">
        <v>983</v>
      </c>
      <c r="B984" s="2">
        <v>0.6766692308564709</v>
      </c>
    </row>
    <row r="985" spans="1:2" x14ac:dyDescent="0.2">
      <c r="A985" s="3">
        <v>984</v>
      </c>
      <c r="B985" s="2">
        <v>0.33772421134315089</v>
      </c>
    </row>
    <row r="986" spans="1:2" x14ac:dyDescent="0.2">
      <c r="A986" s="3">
        <v>985</v>
      </c>
      <c r="B986" s="2">
        <v>0.18152653378607114</v>
      </c>
    </row>
    <row r="987" spans="1:2" x14ac:dyDescent="0.2">
      <c r="A987" s="3">
        <v>986</v>
      </c>
      <c r="B987" s="2">
        <v>7.0266548105896443E-2</v>
      </c>
    </row>
    <row r="988" spans="1:2" x14ac:dyDescent="0.2">
      <c r="A988" s="3">
        <v>987</v>
      </c>
      <c r="B988" s="2">
        <v>0.39581915518424049</v>
      </c>
    </row>
    <row r="989" spans="1:2" x14ac:dyDescent="0.2">
      <c r="A989" s="3">
        <v>988</v>
      </c>
      <c r="B989" s="2">
        <v>0.79071137532631375</v>
      </c>
    </row>
    <row r="990" spans="1:2" x14ac:dyDescent="0.2">
      <c r="A990" s="3">
        <v>989</v>
      </c>
      <c r="B990" s="2">
        <v>0.48281105819585657</v>
      </c>
    </row>
    <row r="991" spans="1:2" x14ac:dyDescent="0.2">
      <c r="A991" s="3">
        <v>990</v>
      </c>
      <c r="B991" s="2">
        <v>0.74280657067387224</v>
      </c>
    </row>
    <row r="992" spans="1:2" x14ac:dyDescent="0.2">
      <c r="A992" s="3">
        <v>991</v>
      </c>
      <c r="B992" s="2">
        <v>9.9687794835993451E-2</v>
      </c>
    </row>
    <row r="993" spans="1:2" x14ac:dyDescent="0.2">
      <c r="A993" s="3">
        <v>992</v>
      </c>
      <c r="B993" s="2">
        <v>0.80752447627829549</v>
      </c>
    </row>
    <row r="994" spans="1:2" x14ac:dyDescent="0.2">
      <c r="A994" s="3">
        <v>993</v>
      </c>
      <c r="B994" s="2">
        <v>0.31990207059783471</v>
      </c>
    </row>
    <row r="995" spans="1:2" x14ac:dyDescent="0.2">
      <c r="A995" s="3">
        <v>994</v>
      </c>
      <c r="B995" s="2">
        <v>0.22679054723726197</v>
      </c>
    </row>
    <row r="996" spans="1:2" x14ac:dyDescent="0.2">
      <c r="A996" s="3">
        <v>995</v>
      </c>
      <c r="B996" s="2">
        <v>1.8073110995994519E-2</v>
      </c>
    </row>
    <row r="997" spans="1:2" x14ac:dyDescent="0.2">
      <c r="A997" s="3">
        <v>996</v>
      </c>
      <c r="B997" s="2">
        <v>7.80595808431363E-2</v>
      </c>
    </row>
    <row r="998" spans="1:2" x14ac:dyDescent="0.2">
      <c r="A998" s="3">
        <v>997</v>
      </c>
      <c r="B998" s="2">
        <v>0.63551625079683893</v>
      </c>
    </row>
    <row r="999" spans="1:2" x14ac:dyDescent="0.2">
      <c r="A999" s="3">
        <v>998</v>
      </c>
      <c r="B999" s="2">
        <v>1.8166575357479019E-2</v>
      </c>
    </row>
    <row r="1000" spans="1:2" x14ac:dyDescent="0.2">
      <c r="A1000" s="3">
        <v>999</v>
      </c>
      <c r="B1000" s="2">
        <v>0.77143406981302087</v>
      </c>
    </row>
    <row r="1001" spans="1:2" x14ac:dyDescent="0.2">
      <c r="A1001" s="3">
        <v>1000</v>
      </c>
      <c r="B1001" s="2">
        <v>0.83954510816887695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Sheet2</vt:lpstr>
      <vt:lpstr>Sheet3</vt:lpstr>
      <vt:lpstr>aaa</vt:lpstr>
      <vt:lpstr>bbb</vt:lpstr>
      <vt:lpstr>rand</vt:lpstr>
      <vt:lpstr>rdn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Yawen</dc:creator>
  <cp:lastModifiedBy>Li Yawen</cp:lastModifiedBy>
  <dcterms:created xsi:type="dcterms:W3CDTF">2019-05-08T18:31:28Z</dcterms:created>
  <dcterms:modified xsi:type="dcterms:W3CDTF">2019-05-09T18:02:43Z</dcterms:modified>
</cp:coreProperties>
</file>